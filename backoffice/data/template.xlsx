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리포트" sheetId="1" state="visible" r:id="rId1"/>
    <sheet xmlns:r="http://schemas.openxmlformats.org/officeDocument/2006/relationships" name="인스타그램 팔로워수" sheetId="2" state="visible" r:id="rId2"/>
    <sheet xmlns:r="http://schemas.openxmlformats.org/officeDocument/2006/relationships" name="틱톡 팔로워수" sheetId="3" state="visible" r:id="rId3"/>
    <sheet xmlns:r="http://schemas.openxmlformats.org/officeDocument/2006/relationships" name="인스타그램 게시물 데이터" sheetId="4" state="visible" r:id="rId4"/>
    <sheet xmlns:r="http://schemas.openxmlformats.org/officeDocument/2006/relationships" name="틱톡 게시물 데이터" sheetId="5" state="visible" r:id="rId5"/>
  </sheets>
  <definedNames>
    <definedName name="_Order1">255</definedName>
    <definedName name="_Order2">255</definedName>
    <definedName name="AS2DocOpenMode">"AS2DocumentBrowse"</definedName>
    <definedName name="TextRefCopyRangeCount">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&quot;년&quot; mm&quot;월&quot; dd&quot;일&quot;"/>
    <numFmt numFmtId="165" formatCode="m&quot;/&quot;d"/>
    <numFmt numFmtId="166" formatCode="#,##0_);[Red]\(#,##0\)"/>
    <numFmt numFmtId="167" formatCode="YYYY-MM-DD"/>
    <numFmt numFmtId="168" formatCode="yyyy-mm-dd h:mm:ss"/>
  </numFmts>
  <fonts count="35">
    <font>
      <name val="Calibri"/>
      <color theme="1"/>
      <sz val="11"/>
      <scheme val="minor"/>
    </font>
    <font>
      <name val="나눔고딕"/>
      <color theme="1"/>
      <sz val="10"/>
    </font>
    <font>
      <name val="Malgun Gothic"/>
      <b val="1"/>
      <i val="1"/>
      <color rgb="FFFF0000"/>
      <sz val="11"/>
    </font>
    <font>
      <name val="나눔고딕"/>
      <color theme="1"/>
      <sz val="9"/>
    </font>
    <font>
      <name val="Malgun Gothic"/>
      <b val="1"/>
      <color theme="1"/>
      <sz val="20"/>
    </font>
    <font/>
    <font>
      <name val="나눔고딕"/>
      <i val="1"/>
      <color theme="1"/>
      <sz val="10"/>
    </font>
    <font>
      <name val="나눔고딕"/>
      <color theme="1"/>
      <sz val="12"/>
    </font>
    <font>
      <name val="Malgun Gothic"/>
      <b val="1"/>
      <color theme="1"/>
      <sz val="12"/>
    </font>
    <font>
      <name val="나눔고딕"/>
      <color rgb="FFFF0000"/>
      <sz val="10"/>
    </font>
    <font>
      <name val="나눔고딕"/>
      <b val="1"/>
      <color theme="1"/>
      <sz val="10"/>
    </font>
    <font>
      <name val="Calibri"/>
      <color rgb="FFFF0000"/>
      <scheme val="minor"/>
    </font>
    <font>
      <name val="Malgun Gothic"/>
      <color rgb="FFFF0000"/>
      <sz val="11"/>
    </font>
    <font>
      <name val="Malgun Gothic"/>
      <b val="1"/>
      <color theme="0"/>
      <sz val="15"/>
    </font>
    <font>
      <name val="Malgun Gothic"/>
      <color rgb="FFFF0000"/>
      <sz val="10"/>
    </font>
    <font>
      <name val="나눔고딕"/>
      <color rgb="FF7F7F7F"/>
      <sz val="10"/>
    </font>
    <font>
      <name val="Malgun Gothic"/>
      <color theme="1"/>
      <sz val="10"/>
    </font>
    <font>
      <name val="Malgun Gothic"/>
      <b val="1"/>
      <color theme="1"/>
      <sz val="15"/>
    </font>
    <font>
      <name val="Malgun Gothic"/>
      <b val="1"/>
      <color theme="0"/>
      <sz val="11"/>
    </font>
    <font>
      <name val="Malgun Gothic"/>
      <color theme="1"/>
      <sz val="11"/>
    </font>
    <font>
      <name val="Malgun Gothic"/>
      <b val="1"/>
      <color rgb="FFFFD965"/>
      <sz val="12"/>
    </font>
    <font>
      <name val="Malgun Gothic"/>
      <b val="1"/>
      <color rgb="FFFEF2CB"/>
      <sz val="12"/>
    </font>
    <font>
      <name val="Malgun Gothic"/>
      <color theme="1"/>
      <sz val="12"/>
    </font>
    <font>
      <name val="Malgun Gothic"/>
      <color theme="10"/>
      <sz val="12"/>
      <u val="single"/>
    </font>
    <font>
      <name val="Calibri"/>
      <b val="1"/>
      <sz val="20"/>
    </font>
    <font>
      <name val="Calibri"/>
      <b val="1"/>
      <color rgb="00FFD965"/>
      <sz val="12"/>
    </font>
    <font>
      <name val="Calibri"/>
      <b val="1"/>
      <color rgb="00FEF2CB"/>
      <sz val="12"/>
    </font>
    <font>
      <name val="Calibri"/>
      <sz val="12"/>
    </font>
    <font>
      <name val="Calibri"/>
      <color rgb="000563C1"/>
      <sz val="12"/>
      <u val="single"/>
    </font>
    <font>
      <name val="Calibri"/>
      <b val="1"/>
      <color rgb="FFFFD965"/>
      <sz val="12"/>
    </font>
    <font>
      <name val="Calibri"/>
      <b val="1"/>
      <color rgb="FFFEF2CB"/>
      <sz val="12"/>
    </font>
    <font>
      <name val="Calibri"/>
      <sz val="11"/>
    </font>
    <font>
      <name val="Calibri"/>
      <b val="1"/>
      <sz val="15"/>
    </font>
    <font>
      <name val="Calibri"/>
      <b val="1"/>
      <color rgb="00FFD965"/>
      <sz val="11"/>
    </font>
    <font>
      <name val="Calibri"/>
      <b val="1"/>
      <color rgb="00FEF2CB"/>
      <sz val="11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003F3F3F"/>
      </patternFill>
    </fill>
    <fill>
      <patternFill patternType="solid">
        <fgColor rgb="FF3F3F3F"/>
      </patternFill>
    </fill>
  </fills>
  <borders count="35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double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top style="thin">
        <color rgb="FF7F7F7F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000000"/>
      </bottom>
    </border>
    <border>
      <left/>
      <right/>
      <top/>
      <bottom style="double">
        <color rgb="FF000000"/>
      </bottom>
    </border>
    <border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164" fontId="6" fillId="2" borderId="10" applyAlignment="1" pivotButton="0" quotePrefix="0" xfId="0">
      <alignment horizontal="center" vertical="bottom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8" fillId="2" borderId="13" applyAlignment="1" pivotButton="0" quotePrefix="0" xfId="0">
      <alignment horizontal="left"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3" fontId="1" fillId="2" borderId="1" applyAlignment="1" pivotButton="0" quotePrefix="0" xfId="0">
      <alignment vertical="center"/>
    </xf>
    <xf numFmtId="10" fontId="1" fillId="2" borderId="1" applyAlignment="1" pivotButton="0" quotePrefix="0" xfId="0">
      <alignment vertical="center"/>
    </xf>
    <xf numFmtId="0" fontId="12" fillId="2" borderId="6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3" fillId="4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vertical="center"/>
    </xf>
    <xf numFmtId="0" fontId="14" fillId="5" borderId="16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2" fillId="5" borderId="16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left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/>
    </xf>
    <xf numFmtId="0" fontId="17" fillId="2" borderId="22" applyAlignment="1" pivotButton="0" quotePrefix="0" xfId="0">
      <alignment vertical="center"/>
    </xf>
    <xf numFmtId="0" fontId="17" fillId="2" borderId="1" applyAlignment="1" pivotButton="0" quotePrefix="0" xfId="0">
      <alignment vertical="center"/>
    </xf>
    <xf numFmtId="0" fontId="18" fillId="6" borderId="23" applyAlignment="1" pivotButton="0" quotePrefix="0" xfId="0">
      <alignment horizontal="center" vertical="center"/>
    </xf>
    <xf numFmtId="0" fontId="18" fillId="6" borderId="23" applyAlignment="1" pivotButton="0" quotePrefix="0" xfId="0">
      <alignment horizontal="center" vertical="center" wrapText="1"/>
    </xf>
    <xf numFmtId="165" fontId="19" fillId="2" borderId="23" applyAlignment="1" pivotButton="0" quotePrefix="0" xfId="0">
      <alignment horizontal="center" vertical="center"/>
    </xf>
    <xf numFmtId="166" fontId="19" fillId="2" borderId="23" applyAlignment="1" pivotButton="0" quotePrefix="0" xfId="0">
      <alignment horizontal="center" vertical="center"/>
    </xf>
    <xf numFmtId="0" fontId="4" fillId="2" borderId="22" applyAlignment="1" pivotButton="0" quotePrefix="0" xfId="0">
      <alignment vertical="center"/>
    </xf>
    <xf numFmtId="0" fontId="20" fillId="6" borderId="24" applyAlignment="1" pivotButton="0" quotePrefix="0" xfId="0">
      <alignment horizontal="center" vertical="center"/>
    </xf>
    <xf numFmtId="0" fontId="20" fillId="6" borderId="25" applyAlignment="1" pivotButton="0" quotePrefix="0" xfId="0">
      <alignment horizontal="center" vertical="center"/>
    </xf>
    <xf numFmtId="0" fontId="5" fillId="0" borderId="26" applyAlignment="1" pivotButton="0" quotePrefix="0" xfId="0">
      <alignment vertical="center"/>
    </xf>
    <xf numFmtId="0" fontId="21" fillId="6" borderId="24" applyAlignment="1" pivotButton="0" quotePrefix="0" xfId="0">
      <alignment horizontal="center" vertical="center"/>
    </xf>
    <xf numFmtId="0" fontId="21" fillId="6" borderId="24" applyAlignment="1" pivotButton="0" quotePrefix="0" xfId="0">
      <alignment horizontal="center" vertical="center" wrapText="1"/>
    </xf>
    <xf numFmtId="165" fontId="22" fillId="2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vertical="center"/>
    </xf>
    <xf numFmtId="166" fontId="23" fillId="2" borderId="23" applyAlignment="1" pivotButton="0" quotePrefix="0" xfId="0">
      <alignment horizontal="center" vertical="center"/>
    </xf>
    <xf numFmtId="0" fontId="22" fillId="2" borderId="16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6" fillId="2" borderId="27" applyAlignment="1" pivotButton="0" quotePrefix="0" xfId="0">
      <alignment horizontal="center" vertical="bottom"/>
    </xf>
    <xf numFmtId="0" fontId="0" fillId="0" borderId="28" pivotButton="0" quotePrefix="0" xfId="0"/>
    <xf numFmtId="0" fontId="8" fillId="2" borderId="20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1" applyAlignment="1" pivotButton="0" quotePrefix="0" xfId="0">
      <alignment horizontal="left" vertical="center"/>
    </xf>
    <xf numFmtId="0" fontId="13" fillId="4" borderId="23" applyAlignment="1" pivotButton="0" quotePrefix="0" xfId="0">
      <alignment horizontal="center" vertical="center" wrapText="1"/>
    </xf>
    <xf numFmtId="0" fontId="0" fillId="0" borderId="17" pivotButton="0" quotePrefix="0" xfId="0"/>
    <xf numFmtId="0" fontId="14" fillId="5" borderId="23" applyAlignment="1" pivotButton="0" quotePrefix="0" xfId="0">
      <alignment horizontal="left" vertical="center" wrapText="1"/>
    </xf>
    <xf numFmtId="0" fontId="0" fillId="0" borderId="18" pivotButton="0" quotePrefix="0" xfId="0"/>
    <xf numFmtId="0" fontId="12" fillId="5" borderId="23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20" fillId="6" borderId="32" applyAlignment="1" pivotButton="0" quotePrefix="0" xfId="0">
      <alignment horizontal="center" vertical="center"/>
    </xf>
    <xf numFmtId="0" fontId="0" fillId="0" borderId="26" pivotButton="0" quotePrefix="0" xfId="0"/>
    <xf numFmtId="0" fontId="22" fillId="2" borderId="23" applyAlignment="1" pivotButton="0" quotePrefix="0" xfId="0">
      <alignment horizontal="center" vertical="center"/>
    </xf>
    <xf numFmtId="0" fontId="24" fillId="2" borderId="22" applyAlignment="1" pivotButton="0" quotePrefix="0" xfId="0">
      <alignment vertical="center"/>
    </xf>
    <xf numFmtId="0" fontId="25" fillId="7" borderId="24" applyAlignment="1" pivotButton="0" quotePrefix="0" xfId="0">
      <alignment horizontal="center" vertical="center"/>
    </xf>
    <xf numFmtId="0" fontId="25" fillId="7" borderId="32" applyAlignment="1" pivotButton="0" quotePrefix="0" xfId="0">
      <alignment horizontal="center" vertical="center"/>
    </xf>
    <xf numFmtId="0" fontId="26" fillId="7" borderId="24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167" fontId="27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7" fontId="27" fillId="2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vertical="center"/>
    </xf>
    <xf numFmtId="166" fontId="28" fillId="2" borderId="23" applyAlignment="1" pivotButton="0" quotePrefix="0" xfId="0">
      <alignment horizontal="center" vertical="center"/>
    </xf>
    <xf numFmtId="167" fontId="27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167" fontId="27" fillId="0" borderId="0" pivotButton="0" quotePrefix="0" xfId="0"/>
    <xf numFmtId="0" fontId="29" fillId="8" borderId="24" applyAlignment="1" pivotButton="0" quotePrefix="0" xfId="0">
      <alignment horizontal="center" vertical="center"/>
    </xf>
    <xf numFmtId="0" fontId="29" fillId="8" borderId="32" applyAlignment="1" pivotButton="0" quotePrefix="0" xfId="0">
      <alignment horizontal="center" vertical="center"/>
    </xf>
    <xf numFmtId="0" fontId="30" fillId="8" borderId="24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167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03590284439432084"/>
          <y val="0.04394573151995485"/>
          <w val="0.8394786408549162"/>
          <h val="0.8611024219288507"/>
        </manualLayout>
      </layout>
      <barChart>
        <barDir val="col"/>
        <grouping val="clustered"/>
        <ser>
          <idx val="0"/>
          <order val="0"/>
          <tx>
            <v>좋아요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데이터'!$F$5:$F$12</f>
              <numCache/>
            </numRef>
          </val>
        </ser>
        <ser>
          <idx val="1"/>
          <order val="1"/>
          <tx>
            <v>댓글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데이터'!$G$5:$G$12</f>
              <numCache/>
            </numRef>
          </val>
        </ser>
        <ser>
          <idx val="2"/>
          <order val="2"/>
          <tx>
            <v>저장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데이터'!$H$5:$H$12</f>
              <numCache/>
            </numRef>
          </val>
        </ser>
        <gapWidth val="150"/>
        <axId val="1859511565"/>
        <axId val="1353431357"/>
      </barChart>
      <lineChart>
        <grouping val="standard"/>
        <varyColors val="0"/>
        <ser>
          <idx val="3"/>
          <order val="3"/>
          <tx>
            <v>인게이지먼트</v>
          </tx>
          <spPr>
            <a:ln xmlns:a="http://schemas.openxmlformats.org/drawingml/2006/main" w="28575" cmpd="sng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cmpd="sng">
                <a:solidFill>
                  <a:schemeClr val="accent5"/>
                </a:solidFill>
                <a:prstDash val="solid"/>
              </a:ln>
            </spPr>
          </marke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latin typeface="나눔고딕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'게시물 데이터'!$B$5:$B$12</f>
            </strRef>
          </cat>
          <val>
            <numRef>
              <f>'게시물 데이터'!$I$5:$I$12</f>
              <numCache/>
            </numRef>
          </val>
          <smooth val="0"/>
        </ser>
        <axId val="1859511565"/>
        <axId val="1353431357"/>
      </lineChart>
      <catAx>
        <axId val="185951156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m&quot;/&quot;d;@" sourceLinked="0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353431357"/>
        <lblOffset val="100"/>
      </catAx>
      <valAx>
        <axId val="135343135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859511565"/>
      </valAx>
    </plotArea>
    <legend>
      <legendPos val="r"/>
      <layout>
        <manualLayout>
          <xMode val="edge"/>
          <yMode val="edge"/>
          <wMode val="factor"/>
          <hMode val="factor"/>
          <x val="0.8821770389045944"/>
          <y val="0.220071153635999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1A1A1A"/>
              </a:solidFill>
              <a:latin typeface="나눔고딕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'매체별 팔로워수'!$C$4</f>
            </strRef>
          </tx>
          <spPr>
            <a:ln xmlns:a="http://schemas.openxmlformats.org/drawingml/2006/main" w="9525" cmpd="sng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팔로워수'!$C$5:$C$35</f>
              <numCache/>
            </numRef>
          </val>
          <smooth val="0"/>
        </ser>
        <axId val="164348225"/>
        <axId val="720020523"/>
      </lineChart>
      <lineChart>
        <grouping val="standard"/>
        <varyColors val="0"/>
        <ser>
          <idx val="1"/>
          <order val="1"/>
          <tx>
            <strRef>
              <f>'매체별 팔로워수'!$D$4</f>
            </strRef>
          </tx>
          <spPr>
            <a:ln xmlns:a="http://schemas.openxmlformats.org/drawingml/2006/main" cmpd="sng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팔로워수'!$D$5:$D$35</f>
              <numCache/>
            </numRef>
          </val>
          <smooth val="0"/>
        </ser>
        <axId val="991265499"/>
        <axId val="167779644"/>
      </lineChart>
      <catAx>
        <axId val="16434822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 rot="-1800000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20020523"/>
        <lblOffset val="100"/>
      </catAx>
      <valAx>
        <axId val="720020523"/>
        <scaling>
          <orientation val="minMax"/>
          <max val="574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4348225"/>
      </valAx>
      <catAx>
        <axId val="99126549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 rot="-1800000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779644"/>
        <lblOffset val="100"/>
      </catAx>
      <valAx>
        <axId val="167779644"/>
        <scaling>
          <orientation val="minMax"/>
          <max val="3800"/>
        </scaling>
        <delete val="0"/>
        <axPos val="r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91265499"/>
        <crosses val="max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/Relationships>
</file>

<file path=xl/drawings/drawing1.xml><?xml version="1.0" encoding="utf-8"?>
<wsDr xmlns="http://schemas.openxmlformats.org/drawingml/2006/spreadsheetDrawing">
  <oneCellAnchor>
    <from>
      <col>2</col>
      <colOff>0</colOff>
      <row>37</row>
      <rowOff>9525</rowOff>
    </from>
    <ext cx="9363075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2</col>
      <colOff>0</colOff>
      <row>9</row>
      <rowOff>57150</rowOff>
    </from>
    <ext cx="9248775" cy="28860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34</col>
      <colOff>161925</colOff>
      <row>16</row>
      <rowOff>104775</rowOff>
    </from>
    <ext cx="2352675" cy="3257550"/>
    <pic>
      <nvPicPr>
        <cNvPr id="0" name="image2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34</col>
      <colOff>2743200</colOff>
      <row>16</row>
      <rowOff>38100</rowOff>
    </from>
    <ext cx="2409825" cy="3257550"/>
    <pic>
      <nvPicPr>
        <cNvPr id="0" name="image1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reel/DWGDd06lGKC/" TargetMode="External" Id="rId1"/><Relationship Type="http://schemas.openxmlformats.org/officeDocument/2006/relationships/hyperlink" Target="https://www.instagram.com/reel/DWP-RXej0uY/" TargetMode="External" Id="rId2"/><Relationship Type="http://schemas.openxmlformats.org/officeDocument/2006/relationships/hyperlink" Target="https://www.instagram.com/reel/DWTa_DRDTw7/" TargetMode="External" Id="rId3"/><Relationship Type="http://schemas.openxmlformats.org/officeDocument/2006/relationships/hyperlink" Target="https://www.instagram.com/reel/DWV4Ys8DVdO/" TargetMode="External" Id="rId4"/><Relationship Type="http://schemas.openxmlformats.org/officeDocument/2006/relationships/hyperlink" Target="https://www.instagram.com/reel/DWYdKAsD6_0/" TargetMode="External" Id="rId5"/><Relationship Type="http://schemas.openxmlformats.org/officeDocument/2006/relationships/hyperlink" Target="https://www.instagram.com/reel/DWbB8s4D9He/" TargetMode="External" Id="rId6"/><Relationship Type="http://schemas.openxmlformats.org/officeDocument/2006/relationships/hyperlink" Target="https://www.instagram.com/reel/DWdmqT5iA1P/" TargetMode="External" Id="rId7"/><Relationship Type="http://schemas.openxmlformats.org/officeDocument/2006/relationships/hyperlink" Target="https://www.instagram.com/reel/DWgLl1MEgxi/" TargetMode="External" Id="rId8"/><Relationship Type="http://schemas.openxmlformats.org/officeDocument/2006/relationships/hyperlink" Target="https://www.instagram.com/reel/DWkeRlRD1fU/" TargetMode="External" Id="rId9"/><Relationship Type="http://schemas.openxmlformats.org/officeDocument/2006/relationships/hyperlink" Target="https://www.instagram.com/reel/DWlU9Q4jR99/" TargetMode="External" Id="rId10"/><Relationship Type="http://schemas.openxmlformats.org/officeDocument/2006/relationships/hyperlink" Target="https://www.instagram.com/reel/DWnJ0xMgfee/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iktok.com/@poca_spot/video/7620635513711676690" TargetMode="External" Id="rId1"/><Relationship Type="http://schemas.openxmlformats.org/officeDocument/2006/relationships/hyperlink" Target="https://www.tiktok.com/@poca_spot/video/7621132178981768455" TargetMode="External" Id="rId2"/><Relationship Type="http://schemas.openxmlformats.org/officeDocument/2006/relationships/hyperlink" Target="https://www.tiktok.com/@poca_spot/video/7621354441970584840" TargetMode="External" Id="rId3"/><Relationship Type="http://schemas.openxmlformats.org/officeDocument/2006/relationships/hyperlink" Target="https://www.tiktok.com/@poca_spot/video/7621357153281953042" TargetMode="External" Id="rId4"/><Relationship Type="http://schemas.openxmlformats.org/officeDocument/2006/relationships/hyperlink" Target="https://www.tiktok.com/@poca_spot/video/7621357495076015368" TargetMode="External" Id="rId5"/><Relationship Type="http://schemas.openxmlformats.org/officeDocument/2006/relationships/hyperlink" Target="https://www.tiktok.com/@poca_spot/video/7621527514850053384" TargetMode="External" Id="rId6"/><Relationship Type="http://schemas.openxmlformats.org/officeDocument/2006/relationships/hyperlink" Target="https://www.tiktok.com/@poca_spot/video/7621528957619293447" TargetMode="External" Id="rId7"/><Relationship Type="http://schemas.openxmlformats.org/officeDocument/2006/relationships/hyperlink" Target="https://www.tiktok.com/@poca_spot/video/7621798597566270738" TargetMode="External" Id="rId8"/><Relationship Type="http://schemas.openxmlformats.org/officeDocument/2006/relationships/hyperlink" Target="https://www.tiktok.com/@poca_spot/video/7622912733700214024" TargetMode="External" Id="rId9"/><Relationship Type="http://schemas.openxmlformats.org/officeDocument/2006/relationships/hyperlink" Target="https://www.tiktok.com/@poca_spot/video/7623228643451342087" TargetMode="External" Id="rId10"/><Relationship Type="http://schemas.openxmlformats.org/officeDocument/2006/relationships/hyperlink" Target="https://www.tiktok.com/@poca_spot/video/7623229342931373319" TargetMode="External" Id="rId11"/><Relationship Type="http://schemas.openxmlformats.org/officeDocument/2006/relationships/hyperlink" Target="https://www.tiktok.com/@poca_spot/video/7623938574009879829" TargetMode="External" Id="rId12"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AI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59" min="1" max="2"/>
    <col width="2.86" customWidth="1" style="59" min="3" max="3"/>
    <col width="9.710000000000001" customWidth="1" style="59" min="4" max="4"/>
    <col width="4.57" customWidth="1" style="59" min="5" max="5"/>
    <col width="5.14" customWidth="1" style="59" min="6" max="6"/>
    <col width="5.43" customWidth="1" style="59" min="7" max="10"/>
    <col width="4.14" customWidth="1" style="59" min="11" max="13"/>
    <col width="4.71" customWidth="1" style="59" min="14" max="14"/>
    <col width="4.14" customWidth="1" style="59" min="15" max="25"/>
    <col width="5" customWidth="1" style="59" min="26" max="26"/>
    <col width="4.14" customWidth="1" style="59" min="27" max="27"/>
    <col width="3.57" customWidth="1" style="59" min="28" max="28"/>
    <col width="4.14" customWidth="1" style="59" min="29" max="32"/>
    <col width="3.43" customWidth="1" style="59" min="33" max="33"/>
    <col width="5.14" customWidth="1" style="59" min="34" max="34"/>
    <col width="101.14" customWidth="1" style="59" min="35" max="35"/>
  </cols>
  <sheetData>
    <row r="1" ht="12" customHeight="1" s="5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1" customHeight="1" s="59">
      <c r="A2" s="1" t="n"/>
      <c r="B2" s="1" t="n"/>
      <c r="C2" s="2" t="inlineStr">
        <is>
          <t>※ 매체별 팔로워수, 인스타그램/틱톡 게시물 데이터 시트에 데이터를 입력하면 리포트 내 차트가 자동으로 그려집니다.</t>
        </is>
      </c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3.25" customHeight="1" s="59">
      <c r="A3" s="1" t="n"/>
      <c r="B3" s="1" t="n"/>
      <c r="C3" s="2" t="inlineStr">
        <is>
          <t>※ 매체 추가 하고 싶을 경우 매체별 팔로워 수, 게시물 데이터에서 추가 혹은 삭제하여 진행해주세요.</t>
        </is>
      </c>
      <c r="D3" s="3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2" customHeight="1" s="5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2" customHeight="1" s="59">
      <c r="A5" s="1" t="n"/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6" t="n"/>
      <c r="AI5" s="1" t="n"/>
    </row>
    <row r="6" ht="41.25" customHeight="1" s="59">
      <c r="A6" s="1" t="n"/>
      <c r="B6" s="7" t="n"/>
      <c r="C6" s="60" t="inlineStr">
        <is>
          <t xml:space="preserve"> 00월 소셜 운영 리포트</t>
        </is>
      </c>
      <c r="AH6" s="11" t="n"/>
      <c r="AI6" s="1" t="n"/>
    </row>
    <row r="7" ht="21.75" customHeight="1" s="59">
      <c r="A7" s="1" t="n"/>
      <c r="B7" s="7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61" t="inlineStr">
        <is>
          <t>작성일 : 2025년 X월 X일</t>
        </is>
      </c>
      <c r="AD7" s="62" t="n"/>
      <c r="AE7" s="62" t="n"/>
      <c r="AF7" s="62" t="n"/>
      <c r="AG7" s="62" t="n"/>
      <c r="AH7" s="11" t="n"/>
      <c r="AI7" s="1" t="n"/>
    </row>
    <row r="8" ht="12" customHeight="1" s="59">
      <c r="A8" s="1" t="n"/>
      <c r="B8" s="7" t="n"/>
      <c r="C8" s="15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1" t="n"/>
      <c r="AI8" s="1" t="n"/>
    </row>
    <row r="9" ht="17.25" customHeight="1" s="59">
      <c r="A9" s="16" t="n"/>
      <c r="B9" s="17" t="n"/>
      <c r="C9" s="63" t="inlineStr">
        <is>
          <t>1. 팔로워수 변화 추이</t>
        </is>
      </c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21" t="n"/>
      <c r="AI9" s="22" t="n"/>
    </row>
    <row r="10" ht="15" customHeight="1" s="59">
      <c r="A10" s="1" t="n"/>
      <c r="B10" s="7" t="n"/>
      <c r="C10" s="23" t="n"/>
      <c r="D10" s="23" t="n"/>
      <c r="E10" s="23" t="n"/>
      <c r="F10" s="2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1" t="n"/>
      <c r="AI10" s="24" t="inlineStr">
        <is>
          <t>※ 계열 축 변경하고 싶은 경우 차트 수정 &gt; 계열 &gt; 모든 계열에서 드롭다운 후 선택 &gt; 축 탭에서 변경</t>
        </is>
      </c>
    </row>
    <row r="11" ht="12" customHeight="1" s="59">
      <c r="A11" s="1" t="n"/>
      <c r="B11" s="7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1" t="n"/>
    </row>
    <row r="12" ht="12" customHeight="1" s="59">
      <c r="A12" s="1" t="n"/>
      <c r="B12" s="7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1" t="n"/>
      <c r="AI12" s="1" t="n"/>
    </row>
    <row r="13" ht="12" customHeight="1" s="59">
      <c r="A13" s="1" t="n"/>
      <c r="B13" s="7" t="n"/>
      <c r="C13" s="1" t="n"/>
      <c r="D13" s="1" t="n"/>
      <c r="E13" s="1" t="n"/>
      <c r="F13" s="25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1" t="n"/>
    </row>
    <row r="14" ht="12" customHeight="1" s="59">
      <c r="A14" s="1" t="n"/>
      <c r="B14" s="7" t="n"/>
      <c r="C14" s="1" t="n"/>
      <c r="D14" s="1" t="n"/>
      <c r="E14" s="1" t="n"/>
      <c r="F14" s="25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1" t="n"/>
    </row>
    <row r="15" ht="15.75" customHeight="1" s="59">
      <c r="A15" s="1" t="n"/>
      <c r="B15" s="7" t="n"/>
      <c r="C15" s="1" t="n"/>
      <c r="D15" s="1" t="n"/>
      <c r="E15" s="1" t="n"/>
      <c r="F15" s="25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1" t="n"/>
      <c r="AI15" s="22" t="inlineStr">
        <is>
          <t xml:space="preserve">※ 차트에 최솟값 최댓값이 걸려있습니다. 데이터 수치에 따라 조정하면 증감폭이 잘 보이는 그래프가 그려집니다.
</t>
        </is>
      </c>
    </row>
    <row r="16" ht="12" customHeight="1" s="59">
      <c r="A16" s="1" t="n"/>
      <c r="B16" s="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1" t="n"/>
      <c r="AI16" s="22" t="inlineStr">
        <is>
          <t xml:space="preserve"> 인스타그램 &gt; 세로축  /  유튜브 &gt; 오른쪽세로축</t>
        </is>
      </c>
    </row>
    <row r="17" ht="12" customHeight="1" s="59">
      <c r="A17" s="1" t="n"/>
      <c r="B17" s="7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1" t="n"/>
      <c r="AI17" s="1" t="n"/>
    </row>
    <row r="18" ht="12" customHeight="1" s="59">
      <c r="A18" s="1" t="n"/>
      <c r="B18" s="7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1" t="n"/>
      <c r="AI18" s="1" t="n"/>
    </row>
    <row r="19" ht="12" customHeight="1" s="59">
      <c r="A19" s="1" t="n"/>
      <c r="B19" s="7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1" t="n"/>
      <c r="AI19" s="1" t="n"/>
    </row>
    <row r="20" ht="12" customHeight="1" s="59">
      <c r="A20" s="1" t="n"/>
      <c r="B20" s="7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1" t="n"/>
      <c r="AI20" s="1" t="n"/>
    </row>
    <row r="21" ht="12" customHeight="1" s="59">
      <c r="A21" s="1" t="n"/>
      <c r="B21" s="7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1" t="n"/>
      <c r="AI21" s="1" t="n"/>
    </row>
    <row r="22" ht="12" customHeight="1" s="59">
      <c r="A22" s="1" t="n"/>
      <c r="B22" s="7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1" t="n"/>
      <c r="AI22" s="1" t="n"/>
    </row>
    <row r="23" ht="12" customHeight="1" s="59">
      <c r="A23" s="1" t="n"/>
      <c r="B23" s="7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1" t="n"/>
      <c r="AI23" s="1" t="n"/>
    </row>
    <row r="24" ht="12" customHeight="1" s="59">
      <c r="A24" s="1" t="n"/>
      <c r="B24" s="7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1" t="n"/>
      <c r="AI24" s="1" t="n"/>
    </row>
    <row r="25" ht="12" customHeight="1" s="59">
      <c r="A25" s="1" t="n"/>
      <c r="B25" s="7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1" t="n"/>
      <c r="AI25" s="1" t="n"/>
    </row>
    <row r="26" ht="12" customHeight="1" s="59">
      <c r="A26" s="1" t="n"/>
      <c r="B26" s="7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1" t="n"/>
      <c r="AI26" s="1" t="n"/>
    </row>
    <row r="27" ht="12" customHeight="1" s="59">
      <c r="A27" s="1" t="n"/>
      <c r="B27" s="7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1" t="n"/>
      <c r="AI27" s="1" t="n"/>
    </row>
    <row r="28" ht="12" customHeight="1" s="59">
      <c r="A28" s="1" t="n"/>
      <c r="B28" s="7" t="n"/>
      <c r="C28" s="1" t="n"/>
      <c r="D28" s="1" t="n"/>
      <c r="E28" s="1" t="n"/>
      <c r="F28" s="1" t="n"/>
      <c r="G28" s="25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1" t="n"/>
      <c r="AI28" s="1" t="n"/>
    </row>
    <row r="29" ht="12" customHeight="1" s="59">
      <c r="A29" s="1" t="n"/>
      <c r="B29" s="7" t="n"/>
      <c r="C29" s="1" t="n"/>
      <c r="D29" s="1" t="n"/>
      <c r="E29" s="1" t="n"/>
      <c r="F29" s="1" t="n"/>
      <c r="G29" s="26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1" t="n"/>
      <c r="AI29" s="1" t="n"/>
    </row>
    <row r="30" ht="15.75" customHeight="1" s="59">
      <c r="A30" s="1" t="n"/>
      <c r="B30" s="7" t="n"/>
      <c r="C30" s="65" t="inlineStr">
        <is>
          <t>▶ 팔로워 증가에 영향을 미친 이벤트나 특이사항 기입</t>
        </is>
      </c>
      <c r="AH30" s="11" t="n"/>
      <c r="AI30" s="1" t="n"/>
    </row>
    <row r="31" ht="15.75" customHeight="1" s="59">
      <c r="A31" s="1" t="n"/>
      <c r="B31" s="7" t="n"/>
      <c r="C31" s="65" t="inlineStr">
        <is>
          <t>▶ 참고할만한 특이사항 기입, 없으면 스킵</t>
        </is>
      </c>
      <c r="AH31" s="11" t="n"/>
      <c r="AI31" s="1" t="n"/>
    </row>
    <row r="32" ht="12" customHeight="1" s="59">
      <c r="A32" s="1" t="n"/>
      <c r="B32" s="7" t="n"/>
      <c r="C32" s="28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1" t="n"/>
      <c r="AI32" s="1" t="n"/>
    </row>
    <row r="33" ht="88.5" customHeight="1" s="59">
      <c r="A33" s="1" t="n"/>
      <c r="B33" s="7" t="n"/>
      <c r="C33" s="66" t="inlineStr">
        <is>
          <t>총평</t>
        </is>
      </c>
      <c r="D33" s="67" t="n"/>
      <c r="E33" s="68" t="inlineStr">
        <is>
          <t>해당 월의 소셜 운영 특이사항을 기입해줍니다.
Ex) 유튜브는 1/2 급감하는 추세가 나타났으나 라이브 커머스, ㅇㅇㅇ영상 업로드와 더불어 모든 지표가 상승하는 추세를 보여줌
인스타그램은 1/8부터 할인 관련 정보를 전달하면서도 신규 유입을 위한 팔로워 이벤트를 진행하였음
  ㄴ 팔로워의 꾸준한 유입 및 채널 활성화를 위해 다양한 이벤트 기획 예정.</t>
        </is>
      </c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7" t="n"/>
      <c r="AH33" s="11" t="n"/>
      <c r="AI33" s="1" t="n"/>
    </row>
    <row r="34" ht="12" customHeight="1" s="59">
      <c r="A34" s="1" t="n"/>
      <c r="B34" s="7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1" t="n"/>
      <c r="AI34" s="1" t="n"/>
    </row>
    <row r="35" ht="12" customHeight="1" s="59">
      <c r="A35" s="1" t="n"/>
      <c r="B35" s="7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1" t="n"/>
      <c r="AI35" s="1" t="n"/>
    </row>
    <row r="36" ht="17.25" customHeight="1" s="59">
      <c r="A36" s="16" t="n"/>
      <c r="B36" s="17" t="n"/>
      <c r="C36" s="63" t="inlineStr">
        <is>
          <t>2. 콘텐츠별 인게이지먼트</t>
        </is>
      </c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21" t="n"/>
      <c r="AI36" s="16" t="n"/>
    </row>
    <row r="37" ht="12" customHeight="1" s="59">
      <c r="A37" s="1" t="n"/>
      <c r="B37" s="7" t="n"/>
      <c r="C37" s="1" t="n"/>
      <c r="D37" s="28" t="n"/>
      <c r="AG37" s="1" t="n"/>
      <c r="AH37" s="11" t="n"/>
      <c r="AI37" s="1" t="n"/>
    </row>
    <row r="38" ht="12" customHeight="1" s="59">
      <c r="A38" s="1" t="n"/>
      <c r="B38" s="7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1" t="n"/>
      <c r="AI38" s="1" t="n"/>
    </row>
    <row r="39" ht="12" customHeight="1" s="59">
      <c r="A39" s="1" t="n"/>
      <c r="B39" s="7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1" t="n"/>
      <c r="AI39" s="1" t="n"/>
    </row>
    <row r="40" ht="12" customHeight="1" s="59">
      <c r="A40" s="1" t="n"/>
      <c r="B40" s="7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1" t="n"/>
      <c r="AI40" s="1" t="n"/>
    </row>
    <row r="41" ht="12" customHeight="1" s="59">
      <c r="A41" s="1" t="n"/>
      <c r="B41" s="7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1" t="n"/>
      <c r="AI41" s="1" t="n"/>
    </row>
    <row r="42" ht="12" customHeight="1" s="59">
      <c r="A42" s="1" t="n"/>
      <c r="B42" s="7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1" t="n"/>
      <c r="AI42" s="1" t="n"/>
    </row>
    <row r="43" ht="12" customHeight="1" s="59">
      <c r="A43" s="1" t="n"/>
      <c r="B43" s="7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1" t="n"/>
      <c r="AI43" s="1" t="n"/>
    </row>
    <row r="44" ht="12" customHeight="1" s="59">
      <c r="A44" s="1" t="n"/>
      <c r="B44" s="7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1" t="n"/>
      <c r="AI44" s="1" t="n"/>
    </row>
    <row r="45" ht="12" customHeight="1" s="59">
      <c r="A45" s="1" t="n"/>
      <c r="B45" s="7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1" t="n"/>
      <c r="AI45" s="1" t="n"/>
    </row>
    <row r="46" ht="12" customHeight="1" s="59">
      <c r="A46" s="1" t="n"/>
      <c r="B46" s="7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1" t="n"/>
      <c r="AI46" s="1" t="n"/>
    </row>
    <row r="47" ht="12" customHeight="1" s="59">
      <c r="A47" s="1" t="n"/>
      <c r="B47" s="7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1" t="n"/>
      <c r="AI47" s="1" t="n"/>
    </row>
    <row r="48" ht="12" customHeight="1" s="59">
      <c r="A48" s="1" t="n"/>
      <c r="B48" s="7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1" t="n"/>
      <c r="AI48" s="1" t="n"/>
    </row>
    <row r="49" ht="12" customHeight="1" s="59">
      <c r="A49" s="1" t="n"/>
      <c r="B49" s="7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1" t="n"/>
      <c r="AI49" s="1" t="n"/>
    </row>
    <row r="50" ht="12" customHeight="1" s="59">
      <c r="A50" s="1" t="n"/>
      <c r="B50" s="7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1" t="n"/>
      <c r="AI50" s="1" t="n"/>
    </row>
    <row r="51" ht="12" customHeight="1" s="59">
      <c r="A51" s="1" t="n"/>
      <c r="B51" s="7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1" t="n"/>
      <c r="AI51" s="1" t="n"/>
    </row>
    <row r="52" ht="12" customHeight="1" s="59">
      <c r="A52" s="1" t="n"/>
      <c r="B52" s="7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1" t="n"/>
      <c r="AI52" s="1" t="n"/>
    </row>
    <row r="53" ht="12" customHeight="1" s="59">
      <c r="A53" s="1" t="n"/>
      <c r="B53" s="7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1" t="n"/>
      <c r="AI53" s="1" t="n"/>
    </row>
    <row r="54" ht="12" customHeight="1" s="59">
      <c r="A54" s="1" t="n"/>
      <c r="B54" s="7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1" t="n"/>
      <c r="AI54" s="1" t="n"/>
    </row>
    <row r="55" ht="15.75" customHeight="1" s="59">
      <c r="A55" s="1" t="n"/>
      <c r="B55" s="7" t="n"/>
      <c r="C55" s="65" t="inlineStr">
        <is>
          <t>▶ 1/19 게시물은 광고를 진행하며 다른 게시물에 비해 지표가 상승함</t>
        </is>
      </c>
      <c r="AH55" s="11" t="n"/>
      <c r="AI55" s="1" t="n"/>
    </row>
    <row r="56" ht="15.75" customHeight="1" s="59">
      <c r="A56" s="1" t="n"/>
      <c r="B56" s="7" t="n"/>
      <c r="C56" s="65" t="inlineStr">
        <is>
          <t>▶ 게시물 운영 관련 참고사항이 있다면 기재</t>
        </is>
      </c>
      <c r="AH56" s="11" t="n"/>
      <c r="AI56" s="1" t="n"/>
    </row>
    <row r="57" ht="15.75" customHeight="1" s="59">
      <c r="A57" s="1" t="n"/>
      <c r="B57" s="7" t="n"/>
      <c r="C57" s="65" t="inlineStr">
        <is>
          <t>▶</t>
        </is>
      </c>
      <c r="AH57" s="11" t="n"/>
      <c r="AI57" s="1" t="n"/>
    </row>
    <row r="58" ht="15.75" customHeight="1" s="59">
      <c r="A58" s="1" t="n"/>
      <c r="B58" s="7" t="n"/>
      <c r="C58" s="65" t="n"/>
      <c r="AH58" s="11" t="n"/>
      <c r="AI58" s="1" t="n"/>
    </row>
    <row r="59" ht="15.75" customHeight="1" s="59">
      <c r="A59" s="1" t="n"/>
      <c r="B59" s="7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11" t="n"/>
      <c r="AI59" s="1" t="n"/>
    </row>
    <row r="60" ht="89.25" customHeight="1" s="59">
      <c r="A60" s="1" t="n"/>
      <c r="B60" s="7" t="n"/>
      <c r="C60" s="66" t="inlineStr">
        <is>
          <t>총평</t>
        </is>
      </c>
      <c r="D60" s="67" t="n"/>
      <c r="E60" s="70" t="inlineStr">
        <is>
          <t>ex) 게시물 참여 (좋아요 목적) 광고 진행으로 인해 전월대비 전체적으로 상승하였으나 오가닉 참여는 아쉬운 부분
→ 스토리 내 꾸준한 리뷰 리그램 및 할인 프로모션 업데이트하여 소통
→ 참여 유도를 위한 다양한 장치 구성 예정, 다음달 기획전부터 테스트 하며 최적화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7" t="n"/>
      <c r="AH60" s="11" t="n"/>
      <c r="AI60" s="1" t="n"/>
    </row>
    <row r="61" ht="15.75" customHeight="1" s="59">
      <c r="A61" s="1" t="n"/>
      <c r="B61" s="7" t="n"/>
      <c r="C61" s="28" t="n"/>
      <c r="AH61" s="11" t="n"/>
      <c r="AI61" s="1" t="n"/>
    </row>
    <row r="62" ht="17.25" customHeight="1" s="59">
      <c r="A62" s="16" t="n"/>
      <c r="B62" s="17" t="n"/>
      <c r="C62" s="63" t="inlineStr">
        <is>
          <t>3. 기타 코멘트</t>
        </is>
      </c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21" t="n"/>
      <c r="AI62" s="16" t="n"/>
    </row>
    <row r="63" ht="15.75" customHeight="1" s="59">
      <c r="A63" s="1" t="n"/>
      <c r="B63" s="7" t="n"/>
      <c r="C63" s="71" t="n"/>
      <c r="AH63" s="11" t="n"/>
      <c r="AI63" s="1" t="n"/>
    </row>
    <row r="64" ht="15.75" customHeight="1" s="59">
      <c r="A64" s="1" t="n"/>
      <c r="B64" s="7" t="n"/>
      <c r="C64" s="65" t="inlineStr">
        <is>
          <t>▶ 다음달 기획전 관련한 홍보 게시물 &amp; 바이럴 영상 게시 예정, 기획안은 다음달 10일까지 보고 예정.</t>
        </is>
      </c>
      <c r="AH64" s="11" t="n"/>
      <c r="AI64" s="1" t="n"/>
    </row>
    <row r="65" ht="15.75" customHeight="1" s="59">
      <c r="A65" s="1" t="n"/>
      <c r="B65" s="7" t="n"/>
      <c r="C65" s="28" t="n"/>
      <c r="AH65" s="11" t="n"/>
      <c r="AI65" s="1" t="n"/>
    </row>
    <row r="66" ht="12" customHeight="1" s="59">
      <c r="A66" s="1" t="n"/>
      <c r="B66" s="37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9" t="n"/>
      <c r="AI66" s="1" t="n"/>
    </row>
    <row r="67" ht="12" customHeight="1" s="59">
      <c r="A67" s="1" t="n"/>
      <c r="B67" s="1" t="n"/>
      <c r="C67" s="28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2" customHeight="1" s="59">
      <c r="A68" s="1" t="n"/>
      <c r="B68" s="1" t="n"/>
      <c r="C68" s="28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2" customHeight="1" s="59">
      <c r="A69" s="1" t="n"/>
      <c r="B69" s="1" t="n"/>
      <c r="C69" s="28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2" customHeight="1" s="59">
      <c r="A70" s="1" t="n"/>
      <c r="B70" s="1" t="n"/>
      <c r="C70" s="28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2" customHeight="1" s="59">
      <c r="A71" s="1" t="n"/>
      <c r="B71" s="1" t="n"/>
      <c r="C71" s="28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2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2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2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2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2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2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2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2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2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2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2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2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2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2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2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2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2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2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2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2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2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2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2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2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2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2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2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2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2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2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2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2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2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2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2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2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2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2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2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2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2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2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2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2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2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2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2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2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2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2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2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2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2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2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2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2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2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2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2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2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2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2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2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2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2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2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2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2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2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2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2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2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2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2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2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2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2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2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2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2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2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2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2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2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2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2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2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2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2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2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2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2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2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2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2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2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2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2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2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2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2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2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2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2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2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2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2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2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2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2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2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2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2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2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2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2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2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2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2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2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2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2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2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2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2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2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2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2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2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2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2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2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2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2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2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2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2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2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2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2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2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2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2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2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2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2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2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2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2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2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2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2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2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2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2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2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2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2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2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2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2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2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2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2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2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2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2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2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2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2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2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2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2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2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2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2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2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12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12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12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12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12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12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12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12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12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12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12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12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</row>
    <row r="261" ht="12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</row>
    <row r="262" ht="12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</row>
    <row r="263" ht="12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</row>
    <row r="264" ht="12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</row>
    <row r="265" ht="12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</row>
    <row r="266" ht="12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</row>
    <row r="267" ht="12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</row>
    <row r="268" ht="12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</row>
    <row r="269" ht="12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</row>
    <row r="270" ht="12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</row>
    <row r="271" ht="12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</row>
    <row r="272" ht="12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</row>
    <row r="273" ht="12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</row>
    <row r="274" ht="12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</row>
    <row r="275" ht="12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</row>
    <row r="276" ht="12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</row>
    <row r="277" ht="12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</row>
    <row r="278" ht="12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</row>
    <row r="279" ht="12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</row>
    <row r="280" ht="12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</row>
    <row r="281" ht="12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</row>
    <row r="282" ht="12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</row>
    <row r="283" ht="12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</row>
    <row r="284" ht="12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</row>
    <row r="285" ht="12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</row>
    <row r="286" ht="12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</row>
    <row r="287" ht="12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</row>
    <row r="288" ht="12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</row>
    <row r="289" ht="12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</row>
    <row r="290" ht="12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</row>
    <row r="291" ht="12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</row>
    <row r="292" ht="12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</row>
    <row r="293" ht="12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</row>
    <row r="294" ht="12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</row>
    <row r="295" ht="12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</row>
    <row r="296" ht="12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</row>
    <row r="297" ht="12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</row>
    <row r="298" ht="12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</row>
    <row r="299" ht="12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</row>
    <row r="300" ht="12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</row>
    <row r="301" ht="12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</row>
    <row r="302" ht="12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</row>
    <row r="303" ht="12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</row>
    <row r="304" ht="12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</row>
    <row r="305" ht="12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</row>
    <row r="306" ht="12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</row>
    <row r="307" ht="12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</row>
    <row r="308" ht="12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</row>
    <row r="309" ht="12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</row>
    <row r="310" ht="12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</row>
    <row r="311" ht="12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</row>
    <row r="312" ht="12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</row>
    <row r="313" ht="12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</row>
    <row r="314" ht="12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</row>
    <row r="315" ht="12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</row>
    <row r="316" ht="12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</row>
    <row r="317" ht="12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</row>
    <row r="318" ht="12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</row>
    <row r="319" ht="12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</row>
    <row r="320" ht="12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</row>
    <row r="321" ht="12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</row>
    <row r="322" ht="12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</row>
    <row r="323" ht="12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</row>
    <row r="324" ht="12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</row>
    <row r="325" ht="12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</row>
    <row r="326" ht="12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</row>
    <row r="327" ht="12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</row>
    <row r="328" ht="12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</row>
    <row r="329" ht="12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</row>
    <row r="330" ht="12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</row>
    <row r="331" ht="12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</row>
    <row r="332" ht="12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</row>
    <row r="333" ht="12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</row>
    <row r="334" ht="12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</row>
    <row r="335" ht="12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</row>
    <row r="336" ht="12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</row>
    <row r="337" ht="12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</row>
    <row r="338" ht="12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</row>
    <row r="339" ht="12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</row>
    <row r="340" ht="12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</row>
    <row r="341" ht="12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</row>
    <row r="342" ht="12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</row>
    <row r="343" ht="12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</row>
    <row r="344" ht="12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</row>
    <row r="345" ht="12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</row>
    <row r="346" ht="12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</row>
    <row r="347" ht="12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</row>
    <row r="348" ht="12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</row>
    <row r="349" ht="12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</row>
    <row r="350" ht="12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</row>
    <row r="351" ht="12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</row>
    <row r="352" ht="12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</row>
    <row r="353" ht="12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</row>
    <row r="354" ht="12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</row>
    <row r="355" ht="12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</row>
    <row r="356" ht="12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</row>
    <row r="357" ht="12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</row>
    <row r="358" ht="12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</row>
    <row r="359" ht="12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</row>
    <row r="360" ht="12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</row>
    <row r="361" ht="12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</row>
    <row r="362" ht="12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</row>
    <row r="363" ht="12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</row>
    <row r="364" ht="12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</row>
    <row r="365" ht="12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</row>
    <row r="366" ht="12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</row>
    <row r="367" ht="12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</row>
    <row r="368" ht="12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</row>
    <row r="369" ht="12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</row>
    <row r="370" ht="12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</row>
    <row r="371" ht="12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</row>
    <row r="372" ht="12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</row>
    <row r="373" ht="12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</row>
    <row r="374" ht="12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</row>
    <row r="375" ht="12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</row>
    <row r="376" ht="12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</row>
    <row r="377" ht="12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</row>
    <row r="378" ht="12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</row>
    <row r="379" ht="12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</row>
    <row r="380" ht="12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</row>
    <row r="381" ht="12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</row>
    <row r="382" ht="12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</row>
    <row r="383" ht="12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</row>
    <row r="384" ht="12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</row>
    <row r="385" ht="12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</row>
    <row r="386" ht="12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</row>
    <row r="387" ht="12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</row>
    <row r="388" ht="12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</row>
    <row r="389" ht="12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</row>
    <row r="390" ht="12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</row>
    <row r="391" ht="12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</row>
    <row r="392" ht="12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</row>
    <row r="393" ht="12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</row>
    <row r="394" ht="12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</row>
    <row r="395" ht="12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</row>
    <row r="396" ht="12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</row>
    <row r="397" ht="12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</row>
    <row r="398" ht="12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</row>
    <row r="399" ht="12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</row>
    <row r="400" ht="12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</row>
    <row r="401" ht="12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</row>
    <row r="402" ht="12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</row>
    <row r="403" ht="12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</row>
    <row r="404" ht="12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</row>
    <row r="405" ht="12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</row>
    <row r="406" ht="12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</row>
    <row r="407" ht="12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</row>
    <row r="408" ht="12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</row>
    <row r="409" ht="12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</row>
    <row r="410" ht="12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</row>
    <row r="411" ht="12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</row>
    <row r="412" ht="12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</row>
    <row r="413" ht="12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</row>
    <row r="414" ht="12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</row>
    <row r="415" ht="12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</row>
    <row r="416" ht="12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</row>
    <row r="417" ht="12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</row>
    <row r="418" ht="12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</row>
    <row r="419" ht="12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</row>
    <row r="420" ht="12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</row>
    <row r="421" ht="12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</row>
    <row r="422" ht="12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</row>
    <row r="423" ht="12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</row>
    <row r="424" ht="12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</row>
    <row r="425" ht="12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</row>
    <row r="426" ht="12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</row>
    <row r="427" ht="12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</row>
    <row r="428" ht="12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</row>
    <row r="429" ht="12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</row>
    <row r="430" ht="12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</row>
    <row r="431" ht="12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</row>
    <row r="432" ht="12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</row>
    <row r="433" ht="12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</row>
    <row r="434" ht="12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</row>
    <row r="435" ht="12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</row>
    <row r="436" ht="12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</row>
    <row r="437" ht="12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</row>
    <row r="438" ht="12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</row>
    <row r="439" ht="12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</row>
    <row r="440" ht="12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</row>
    <row r="441" ht="12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</row>
    <row r="442" ht="12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</row>
    <row r="443" ht="12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</row>
    <row r="444" ht="12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</row>
    <row r="445" ht="12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</row>
    <row r="446" ht="12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</row>
    <row r="447" ht="12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</row>
    <row r="448" ht="12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</row>
    <row r="449" ht="12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</row>
    <row r="450" ht="12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</row>
    <row r="451" ht="12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</row>
    <row r="452" ht="12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</row>
    <row r="453" ht="12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</row>
    <row r="454" ht="12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</row>
    <row r="455" ht="12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</row>
    <row r="456" ht="12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</row>
    <row r="457" ht="12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</row>
    <row r="458" ht="12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</row>
    <row r="459" ht="12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</row>
    <row r="460" ht="12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</row>
    <row r="461" ht="12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</row>
    <row r="462" ht="12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</row>
    <row r="463" ht="12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</row>
    <row r="464" ht="12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</row>
    <row r="465" ht="12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</row>
    <row r="466" ht="12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</row>
    <row r="467" ht="12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</row>
    <row r="468" ht="12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</row>
    <row r="469" ht="12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</row>
    <row r="470" ht="12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</row>
    <row r="471" ht="12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</row>
    <row r="472" ht="12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</row>
    <row r="473" ht="12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</row>
    <row r="474" ht="12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</row>
    <row r="475" ht="12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</row>
    <row r="476" ht="12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</row>
    <row r="477" ht="12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</row>
    <row r="478" ht="12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</row>
    <row r="479" ht="12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</row>
    <row r="480" ht="12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</row>
    <row r="481" ht="12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</row>
    <row r="482" ht="12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</row>
    <row r="483" ht="12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</row>
    <row r="484" ht="12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</row>
    <row r="485" ht="12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</row>
    <row r="486" ht="12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</row>
    <row r="487" ht="12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</row>
    <row r="488" ht="12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</row>
    <row r="489" ht="12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</row>
    <row r="490" ht="12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</row>
    <row r="491" ht="12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</row>
    <row r="492" ht="12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</row>
    <row r="493" ht="12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</row>
    <row r="494" ht="12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</row>
    <row r="495" ht="12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</row>
    <row r="496" ht="12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</row>
    <row r="497" ht="12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</row>
    <row r="498" ht="12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</row>
    <row r="499" ht="12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</row>
    <row r="500" ht="12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</row>
    <row r="501" ht="12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</row>
    <row r="502" ht="12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</row>
    <row r="503" ht="12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</row>
    <row r="504" ht="12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</row>
    <row r="505" ht="12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</row>
    <row r="506" ht="12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</row>
    <row r="507" ht="12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</row>
    <row r="508" ht="12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</row>
    <row r="509" ht="12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</row>
    <row r="510" ht="12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</row>
    <row r="511" ht="12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</row>
    <row r="512" ht="12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</row>
    <row r="513" ht="12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</row>
    <row r="514" ht="12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</row>
    <row r="515" ht="12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</row>
    <row r="516" ht="12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</row>
    <row r="517" ht="12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</row>
    <row r="518" ht="12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</row>
    <row r="519" ht="12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</row>
    <row r="520" ht="12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</row>
    <row r="521" ht="12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</row>
    <row r="522" ht="12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</row>
    <row r="523" ht="12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</row>
    <row r="524" ht="12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</row>
    <row r="525" ht="12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</row>
    <row r="526" ht="12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</row>
    <row r="527" ht="12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</row>
    <row r="528" ht="12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</row>
    <row r="529" ht="12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</row>
    <row r="530" ht="12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</row>
    <row r="531" ht="12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</row>
    <row r="532" ht="12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</row>
    <row r="533" ht="12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</row>
    <row r="534" ht="12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</row>
    <row r="535" ht="12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</row>
    <row r="536" ht="12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</row>
    <row r="537" ht="12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</row>
    <row r="538" ht="12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</row>
    <row r="539" ht="12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</row>
    <row r="540" ht="12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</row>
    <row r="541" ht="12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</row>
    <row r="542" ht="12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</row>
    <row r="543" ht="12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</row>
    <row r="544" ht="12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</row>
    <row r="545" ht="12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</row>
    <row r="546" ht="12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</row>
    <row r="547" ht="12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</row>
    <row r="548" ht="12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</row>
    <row r="549" ht="12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</row>
    <row r="550" ht="12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</row>
    <row r="551" ht="12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</row>
    <row r="552" ht="12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</row>
    <row r="553" ht="12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</row>
    <row r="554" ht="12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</row>
    <row r="555" ht="12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</row>
    <row r="556" ht="12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</row>
    <row r="557" ht="12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</row>
    <row r="558" ht="12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</row>
    <row r="559" ht="12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</row>
    <row r="560" ht="12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</row>
    <row r="561" ht="12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</row>
    <row r="562" ht="12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</row>
    <row r="563" ht="12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</row>
    <row r="564" ht="12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</row>
    <row r="565" ht="12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</row>
    <row r="566" ht="12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</row>
    <row r="567" ht="12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</row>
    <row r="568" ht="12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</row>
    <row r="569" ht="12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</row>
    <row r="570" ht="12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</row>
    <row r="571" ht="12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</row>
    <row r="572" ht="12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</row>
    <row r="573" ht="12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</row>
    <row r="574" ht="12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</row>
    <row r="575" ht="12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</row>
    <row r="576" ht="12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</row>
    <row r="577" ht="12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</row>
    <row r="578" ht="12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</row>
    <row r="579" ht="12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</row>
    <row r="580" ht="12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</row>
    <row r="581" ht="12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</row>
    <row r="582" ht="12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</row>
    <row r="583" ht="12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</row>
    <row r="584" ht="12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</row>
    <row r="585" ht="12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</row>
    <row r="586" ht="12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</row>
    <row r="587" ht="12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</row>
    <row r="588" ht="12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</row>
    <row r="589" ht="12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</row>
    <row r="590" ht="12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</row>
    <row r="591" ht="12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</row>
    <row r="592" ht="12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</row>
    <row r="593" ht="12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</row>
    <row r="594" ht="12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</row>
    <row r="595" ht="12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</row>
    <row r="596" ht="12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</row>
    <row r="597" ht="12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</row>
    <row r="598" ht="12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</row>
    <row r="599" ht="12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</row>
    <row r="600" ht="12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</row>
    <row r="601" ht="12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</row>
    <row r="602" ht="12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</row>
    <row r="603" ht="12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</row>
    <row r="604" ht="12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</row>
    <row r="605" ht="12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</row>
    <row r="606" ht="12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</row>
    <row r="607" ht="12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</row>
    <row r="608" ht="12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</row>
    <row r="609" ht="12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</row>
    <row r="610" ht="12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</row>
    <row r="611" ht="12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</row>
    <row r="612" ht="12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</row>
    <row r="613" ht="12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</row>
    <row r="614" ht="12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</row>
    <row r="615" ht="12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</row>
    <row r="616" ht="12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</row>
    <row r="617" ht="12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</row>
    <row r="618" ht="12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</row>
    <row r="619" ht="12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</row>
    <row r="620" ht="12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</row>
    <row r="621" ht="12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</row>
    <row r="622" ht="12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</row>
    <row r="623" ht="12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</row>
    <row r="624" ht="12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</row>
    <row r="625" ht="12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</row>
    <row r="626" ht="12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</row>
    <row r="627" ht="12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</row>
    <row r="628" ht="12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</row>
    <row r="629" ht="12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</row>
    <row r="630" ht="12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</row>
    <row r="631" ht="12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</row>
    <row r="632" ht="12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</row>
    <row r="633" ht="12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</row>
    <row r="634" ht="12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</row>
    <row r="635" ht="12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</row>
    <row r="636" ht="12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</row>
    <row r="637" ht="12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</row>
    <row r="638" ht="12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</row>
    <row r="639" ht="12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</row>
    <row r="640" ht="12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</row>
    <row r="641" ht="12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</row>
    <row r="642" ht="12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</row>
    <row r="643" ht="12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</row>
    <row r="644" ht="12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</row>
    <row r="645" ht="12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</row>
    <row r="646" ht="12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</row>
    <row r="647" ht="12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</row>
    <row r="648" ht="12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</row>
    <row r="649" ht="12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</row>
    <row r="650" ht="12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</row>
    <row r="651" ht="12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</row>
    <row r="652" ht="12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</row>
    <row r="653" ht="12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</row>
    <row r="654" ht="12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</row>
    <row r="655" ht="12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</row>
    <row r="656" ht="12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</row>
    <row r="657" ht="12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</row>
    <row r="658" ht="12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</row>
    <row r="659" ht="12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</row>
    <row r="660" ht="12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</row>
    <row r="661" ht="12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</row>
    <row r="662" ht="12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</row>
    <row r="663" ht="12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</row>
    <row r="664" ht="12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</row>
    <row r="665" ht="12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</row>
    <row r="666" ht="12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</row>
    <row r="667" ht="12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</row>
    <row r="668" ht="12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</row>
    <row r="669" ht="12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</row>
    <row r="670" ht="12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</row>
    <row r="671" ht="12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</row>
    <row r="672" ht="12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</row>
    <row r="673" ht="12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</row>
    <row r="674" ht="12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</row>
    <row r="675" ht="12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</row>
    <row r="676" ht="12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</row>
    <row r="677" ht="12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</row>
    <row r="678" ht="12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</row>
    <row r="679" ht="12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</row>
    <row r="680" ht="12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</row>
    <row r="681" ht="12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</row>
    <row r="682" ht="12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</row>
    <row r="683" ht="12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</row>
    <row r="684" ht="12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</row>
    <row r="685" ht="12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</row>
    <row r="686" ht="12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</row>
    <row r="687" ht="12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</row>
    <row r="688" ht="12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</row>
    <row r="689" ht="12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</row>
    <row r="690" ht="12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</row>
    <row r="691" ht="12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</row>
    <row r="692" ht="12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</row>
    <row r="693" ht="12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</row>
    <row r="694" ht="12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</row>
    <row r="695" ht="12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</row>
    <row r="696" ht="12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</row>
    <row r="697" ht="12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</row>
    <row r="698" ht="12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</row>
    <row r="699" ht="12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</row>
    <row r="700" ht="12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</row>
    <row r="701" ht="12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</row>
    <row r="702" ht="12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</row>
    <row r="703" ht="12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</row>
    <row r="704" ht="12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</row>
    <row r="705" ht="12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</row>
    <row r="706" ht="12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</row>
    <row r="707" ht="12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</row>
    <row r="708" ht="12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</row>
    <row r="709" ht="12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</row>
    <row r="710" ht="12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</row>
    <row r="711" ht="12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</row>
    <row r="712" ht="12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</row>
    <row r="713" ht="12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</row>
    <row r="714" ht="12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</row>
    <row r="715" ht="12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</row>
    <row r="716" ht="12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</row>
    <row r="717" ht="12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</row>
    <row r="718" ht="12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</row>
    <row r="719" ht="12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</row>
    <row r="720" ht="12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</row>
    <row r="721" ht="12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</row>
    <row r="722" ht="12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</row>
    <row r="723" ht="12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</row>
    <row r="724" ht="12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</row>
    <row r="725" ht="12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</row>
    <row r="726" ht="12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</row>
    <row r="727" ht="12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</row>
    <row r="728" ht="12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</row>
    <row r="729" ht="12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</row>
    <row r="730" ht="12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</row>
    <row r="731" ht="12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</row>
    <row r="732" ht="12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</row>
    <row r="733" ht="12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</row>
    <row r="734" ht="12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</row>
    <row r="735" ht="12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</row>
    <row r="736" ht="12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</row>
    <row r="737" ht="12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</row>
    <row r="738" ht="12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</row>
    <row r="739" ht="12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</row>
    <row r="740" ht="12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</row>
    <row r="741" ht="12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</row>
    <row r="742" ht="12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</row>
    <row r="743" ht="12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</row>
    <row r="744" ht="12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</row>
    <row r="745" ht="12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</row>
    <row r="746" ht="12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</row>
    <row r="747" ht="12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</row>
    <row r="748" ht="12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</row>
    <row r="749" ht="12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</row>
    <row r="750" ht="12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</row>
    <row r="751" ht="12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</row>
    <row r="752" ht="12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</row>
    <row r="753" ht="12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</row>
    <row r="754" ht="12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</row>
    <row r="755" ht="12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</row>
    <row r="756" ht="12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</row>
    <row r="757" ht="12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</row>
    <row r="758" ht="12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</row>
    <row r="759" ht="12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</row>
    <row r="760" ht="12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</row>
    <row r="761" ht="12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</row>
    <row r="762" ht="12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</row>
    <row r="763" ht="12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</row>
    <row r="764" ht="12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</row>
    <row r="765" ht="12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</row>
    <row r="766" ht="12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</row>
    <row r="767" ht="12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</row>
    <row r="768" ht="12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</row>
    <row r="769" ht="12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</row>
    <row r="770" ht="12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</row>
    <row r="771" ht="12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</row>
    <row r="772" ht="12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</row>
    <row r="773" ht="12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</row>
    <row r="774" ht="12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</row>
    <row r="775" ht="12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</row>
    <row r="776" ht="12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</row>
    <row r="777" ht="12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</row>
    <row r="778" ht="12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</row>
    <row r="779" ht="12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</row>
    <row r="780" ht="12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</row>
    <row r="781" ht="12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</row>
    <row r="782" ht="12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</row>
    <row r="783" ht="12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</row>
    <row r="784" ht="12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</row>
    <row r="785" ht="12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</row>
    <row r="786" ht="12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</row>
    <row r="787" ht="12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</row>
    <row r="788" ht="12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</row>
    <row r="789" ht="12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</row>
    <row r="790" ht="12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</row>
    <row r="791" ht="12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</row>
    <row r="792" ht="12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</row>
    <row r="793" ht="12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</row>
    <row r="794" ht="12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</row>
    <row r="795" ht="12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</row>
    <row r="796" ht="12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</row>
    <row r="797" ht="12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</row>
    <row r="798" ht="12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</row>
    <row r="799" ht="12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</row>
    <row r="800" ht="12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</row>
    <row r="801" ht="12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</row>
    <row r="802" ht="12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</row>
    <row r="803" ht="12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</row>
    <row r="804" ht="12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</row>
    <row r="805" ht="12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</row>
    <row r="806" ht="12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</row>
    <row r="807" ht="12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</row>
    <row r="808" ht="12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</row>
    <row r="809" ht="12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</row>
    <row r="810" ht="12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</row>
    <row r="811" ht="12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</row>
    <row r="812" ht="12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</row>
    <row r="813" ht="12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</row>
    <row r="814" ht="12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</row>
    <row r="815" ht="12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</row>
    <row r="816" ht="12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</row>
    <row r="817" ht="12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</row>
    <row r="818" ht="12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</row>
    <row r="819" ht="12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</row>
    <row r="820" ht="12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</row>
    <row r="821" ht="12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</row>
    <row r="822" ht="12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</row>
    <row r="823" ht="12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</row>
    <row r="824" ht="12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</row>
    <row r="825" ht="12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</row>
    <row r="826" ht="12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</row>
    <row r="827" ht="12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</row>
    <row r="828" ht="12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</row>
    <row r="829" ht="12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</row>
    <row r="830" ht="12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</row>
    <row r="831" ht="12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</row>
    <row r="832" ht="12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</row>
    <row r="833" ht="12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</row>
    <row r="834" ht="12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</row>
    <row r="835" ht="12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</row>
    <row r="836" ht="12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</row>
    <row r="837" ht="12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</row>
    <row r="838" ht="12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</row>
    <row r="839" ht="12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</row>
    <row r="840" ht="12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</row>
    <row r="841" ht="12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</row>
    <row r="842" ht="12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</row>
    <row r="843" ht="12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</row>
    <row r="844" ht="12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</row>
    <row r="845" ht="12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</row>
    <row r="846" ht="12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</row>
    <row r="847" ht="12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</row>
    <row r="848" ht="12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</row>
    <row r="849" ht="12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</row>
    <row r="850" ht="12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</row>
    <row r="851" ht="12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</row>
    <row r="852" ht="12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</row>
    <row r="853" ht="12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</row>
    <row r="854" ht="12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</row>
    <row r="855" ht="12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</row>
    <row r="856" ht="12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</row>
    <row r="857" ht="12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</row>
    <row r="858" ht="12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</row>
    <row r="859" ht="12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</row>
    <row r="860" ht="12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</row>
    <row r="861" ht="12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</row>
    <row r="862" ht="12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</row>
    <row r="863" ht="12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</row>
    <row r="864" ht="12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</row>
    <row r="865" ht="12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</row>
    <row r="866" ht="12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</row>
    <row r="867" ht="12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</row>
    <row r="868" ht="12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</row>
    <row r="869" ht="12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</row>
    <row r="870" ht="12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</row>
    <row r="871" ht="12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</row>
    <row r="872" ht="12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</row>
    <row r="873" ht="12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</row>
    <row r="874" ht="12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</row>
    <row r="875" ht="12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</row>
    <row r="876" ht="12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</row>
    <row r="877" ht="12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</row>
    <row r="878" ht="12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</row>
    <row r="879" ht="12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</row>
    <row r="880" ht="12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</row>
    <row r="881" ht="12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</row>
    <row r="882" ht="12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</row>
    <row r="883" ht="12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</row>
    <row r="884" ht="12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</row>
    <row r="885" ht="12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</row>
    <row r="886" ht="12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</row>
    <row r="887" ht="12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</row>
    <row r="888" ht="12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</row>
    <row r="889" ht="12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</row>
    <row r="890" ht="12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</row>
    <row r="891" ht="12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</row>
    <row r="892" ht="12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</row>
    <row r="893" ht="12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</row>
    <row r="894" ht="12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</row>
    <row r="895" ht="12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</row>
    <row r="896" ht="12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</row>
    <row r="897" ht="12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</row>
    <row r="898" ht="12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</row>
    <row r="899" ht="12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</row>
    <row r="900" ht="12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</row>
    <row r="901" ht="12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</row>
    <row r="902" ht="12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</row>
    <row r="903" ht="12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</row>
    <row r="904" ht="12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</row>
    <row r="905" ht="12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</row>
    <row r="906" ht="12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</row>
    <row r="907" ht="12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</row>
    <row r="908" ht="12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</row>
    <row r="909" ht="12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</row>
    <row r="910" ht="12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</row>
    <row r="911" ht="12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</row>
    <row r="912" ht="12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</row>
    <row r="913" ht="12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</row>
    <row r="914" ht="12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</row>
    <row r="915" ht="12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</row>
    <row r="916" ht="12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</row>
    <row r="917" ht="12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</row>
    <row r="918" ht="12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</row>
    <row r="919" ht="12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</row>
    <row r="920" ht="12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</row>
    <row r="921" ht="12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</row>
    <row r="922" ht="12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</row>
    <row r="923" ht="12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</row>
    <row r="924" ht="12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</row>
    <row r="925" ht="12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</row>
    <row r="926" ht="12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</row>
    <row r="927" ht="12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</row>
    <row r="928" ht="12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</row>
    <row r="929" ht="12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</row>
    <row r="930" ht="12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</row>
    <row r="931" ht="12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</row>
    <row r="932" ht="12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</row>
    <row r="933" ht="12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</row>
    <row r="934" ht="12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</row>
    <row r="935" ht="12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</row>
    <row r="936" ht="12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</row>
    <row r="937" ht="12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</row>
    <row r="938" ht="12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</row>
    <row r="939" ht="12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</row>
    <row r="940" ht="12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</row>
    <row r="941" ht="12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</row>
    <row r="942" ht="12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</row>
    <row r="943" ht="12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</row>
    <row r="944" ht="12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</row>
    <row r="945" ht="12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</row>
    <row r="946" ht="12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</row>
    <row r="947" ht="12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</row>
    <row r="948" ht="12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</row>
    <row r="949" ht="12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</row>
    <row r="950" ht="12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</row>
    <row r="951" ht="12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</row>
    <row r="952" ht="12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</row>
    <row r="953" ht="12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</row>
    <row r="954" ht="12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</row>
    <row r="955" ht="12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</row>
    <row r="956" ht="12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</row>
    <row r="957" ht="12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</row>
    <row r="958" ht="12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</row>
    <row r="959" ht="12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</row>
    <row r="960" ht="12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</row>
    <row r="961" ht="12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</row>
    <row r="962" ht="12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</row>
    <row r="963" ht="12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</row>
    <row r="964" ht="12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</row>
    <row r="965" ht="12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</row>
    <row r="966" ht="12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</row>
    <row r="967" ht="12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</row>
    <row r="968" ht="12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</row>
    <row r="969" ht="12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</row>
    <row r="970" ht="12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</row>
    <row r="971" ht="12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</row>
    <row r="972" ht="12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</row>
    <row r="973" ht="12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</row>
    <row r="974" ht="12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</row>
    <row r="975" ht="12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</row>
    <row r="976" ht="12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</row>
    <row r="977" ht="12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</row>
    <row r="978" ht="12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</row>
    <row r="979" ht="12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</row>
    <row r="980" ht="12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</row>
    <row r="981" ht="12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</row>
    <row r="982" ht="12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</row>
    <row r="983" ht="12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</row>
    <row r="984" ht="12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</row>
    <row r="985" ht="12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</row>
    <row r="986" ht="12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</row>
    <row r="987" ht="12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</row>
    <row r="988" ht="12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</row>
    <row r="989" ht="12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</row>
    <row r="990" ht="12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</row>
    <row r="991" ht="12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</row>
    <row r="992" ht="12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</row>
    <row r="993" ht="12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</row>
    <row r="994" ht="12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</row>
    <row r="995" ht="12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</row>
    <row r="996" ht="12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</row>
    <row r="997" ht="12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</row>
    <row r="998" ht="12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</row>
    <row r="999" ht="12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</row>
    <row r="1000" ht="12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</row>
  </sheetData>
  <mergeCells count="20">
    <mergeCell ref="AC7:AG7"/>
    <mergeCell ref="C33:D33"/>
    <mergeCell ref="C36:AG36"/>
    <mergeCell ref="C61:AG61"/>
    <mergeCell ref="E33:AG33"/>
    <mergeCell ref="C57:AG57"/>
    <mergeCell ref="C30:AG30"/>
    <mergeCell ref="C6:AG6"/>
    <mergeCell ref="C62:AG62"/>
    <mergeCell ref="C60:D60"/>
    <mergeCell ref="C58:AG58"/>
    <mergeCell ref="E60:AG60"/>
    <mergeCell ref="C64:AG64"/>
    <mergeCell ref="C65:AG65"/>
    <mergeCell ref="D37:AF37"/>
    <mergeCell ref="C63:AG63"/>
    <mergeCell ref="C55:AG55"/>
    <mergeCell ref="C31:AG31"/>
    <mergeCell ref="C9:AG9"/>
    <mergeCell ref="C56:AG56"/>
  </mergeCells>
  <pageMargins left="0.7" right="0.7" top="0.75" bottom="0.75" header="0" footer="0"/>
  <pageSetup orientation="portrait" paperSize="9" scale="4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  <col width="16" customWidth="1" style="59" min="5" max="5"/>
    <col width="16" customWidth="1" style="59" min="6" max="6"/>
  </cols>
  <sheetData>
    <row r="2" ht="28" customHeight="1" s="59">
      <c r="B2" s="96" t="inlineStr">
        <is>
          <t>인스타그램 팔로워수</t>
        </is>
      </c>
    </row>
    <row r="4" ht="22" customHeight="1" s="59">
      <c r="B4" s="97" t="inlineStr">
        <is>
          <t>총 팔로워수 (기준일 기준)</t>
        </is>
      </c>
      <c r="D4" s="98" t="n">
        <v>6782</v>
      </c>
    </row>
    <row r="5" ht="8" customHeight="1" s="59"/>
    <row r="6" ht="22" customHeight="1" s="59">
      <c r="B6" s="99" t="inlineStr">
        <is>
          <t>일별 신규 팔로워 (2026.03.10 ~ 2026.04.01)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100" t="n">
        <v>46091</v>
      </c>
      <c r="C8" s="98" t="n">
        <v>4</v>
      </c>
    </row>
    <row r="9" ht="18" customHeight="1" s="59">
      <c r="B9" s="100" t="n">
        <v>46092</v>
      </c>
      <c r="C9" s="98" t="n">
        <v>11</v>
      </c>
    </row>
    <row r="10" ht="18" customHeight="1" s="59">
      <c r="B10" s="100" t="n">
        <v>46093</v>
      </c>
      <c r="C10" s="98" t="n">
        <v>3</v>
      </c>
    </row>
    <row r="11" ht="18" customHeight="1" s="59">
      <c r="B11" s="100" t="n">
        <v>46094</v>
      </c>
      <c r="C11" s="98" t="n">
        <v>6</v>
      </c>
    </row>
    <row r="12" ht="18" customHeight="1" s="59">
      <c r="B12" s="100" t="n">
        <v>46095</v>
      </c>
      <c r="C12" s="98" t="n">
        <v>16</v>
      </c>
    </row>
    <row r="13" ht="18" customHeight="1" s="59">
      <c r="B13" s="100" t="n">
        <v>46096</v>
      </c>
      <c r="C13" s="98" t="n">
        <v>15</v>
      </c>
    </row>
    <row r="14" ht="18" customHeight="1" s="59">
      <c r="B14" s="100" t="n">
        <v>46097</v>
      </c>
      <c r="C14" s="98" t="n">
        <v>12</v>
      </c>
    </row>
    <row r="15" ht="18" customHeight="1" s="59">
      <c r="B15" s="100" t="n">
        <v>46098</v>
      </c>
      <c r="C15" s="98" t="n">
        <v>14</v>
      </c>
    </row>
    <row r="16" ht="18" customHeight="1" s="59">
      <c r="B16" s="100" t="n">
        <v>46099</v>
      </c>
      <c r="C16" s="98" t="n">
        <v>12</v>
      </c>
    </row>
    <row r="17" ht="18" customHeight="1" s="59">
      <c r="B17" s="100" t="n">
        <v>46100</v>
      </c>
      <c r="C17" s="98" t="n">
        <v>12</v>
      </c>
    </row>
    <row r="18" ht="18" customHeight="1" s="59">
      <c r="B18" s="100" t="n">
        <v>46101</v>
      </c>
      <c r="C18" s="98" t="n">
        <v>6</v>
      </c>
    </row>
    <row r="19" ht="18" customHeight="1" s="59">
      <c r="B19" s="100" t="n">
        <v>46102</v>
      </c>
      <c r="C19" s="98" t="n">
        <v>9</v>
      </c>
    </row>
    <row r="20" ht="18" customHeight="1" s="59">
      <c r="B20" s="100" t="n">
        <v>46103</v>
      </c>
      <c r="C20" s="98" t="n">
        <v>13</v>
      </c>
    </row>
    <row r="21" ht="18" customHeight="1" s="59">
      <c r="B21" s="100" t="n">
        <v>46104</v>
      </c>
      <c r="C21" s="98" t="n">
        <v>5</v>
      </c>
    </row>
    <row r="22" ht="18" customHeight="1" s="59">
      <c r="B22" s="100" t="n">
        <v>46105</v>
      </c>
      <c r="C22" s="98" t="n">
        <v>10</v>
      </c>
    </row>
    <row r="23" ht="18" customHeight="1" s="59">
      <c r="B23" s="100" t="n">
        <v>46106</v>
      </c>
      <c r="C23" s="98" t="n">
        <v>14</v>
      </c>
    </row>
    <row r="24" ht="18" customHeight="1" s="59">
      <c r="B24" s="100" t="n">
        <v>46107</v>
      </c>
      <c r="C24" s="98" t="n">
        <v>10</v>
      </c>
    </row>
    <row r="25" ht="18" customHeight="1" s="59">
      <c r="B25" s="100" t="n">
        <v>46108</v>
      </c>
      <c r="C25" s="98" t="n">
        <v>5</v>
      </c>
    </row>
    <row r="26" ht="18" customHeight="1" s="59">
      <c r="B26" s="100" t="n">
        <v>46109</v>
      </c>
      <c r="C26" s="98" t="n">
        <v>6</v>
      </c>
    </row>
    <row r="27" ht="18" customHeight="1" s="59">
      <c r="B27" s="100" t="n">
        <v>46110</v>
      </c>
      <c r="C27" s="98" t="n">
        <v>16</v>
      </c>
    </row>
    <row r="28" ht="18" customHeight="1" s="59">
      <c r="B28" s="100" t="n">
        <v>46111</v>
      </c>
      <c r="C28" s="98" t="n">
        <v>11</v>
      </c>
    </row>
    <row r="29" ht="18" customHeight="1" s="59">
      <c r="B29" s="100" t="n">
        <v>46112</v>
      </c>
      <c r="C29" s="98" t="n">
        <v>6</v>
      </c>
    </row>
    <row r="30" ht="18" customHeight="1" s="59">
      <c r="B30" s="100" t="n">
        <v>46113</v>
      </c>
      <c r="C30" s="98" t="n">
        <v>10</v>
      </c>
    </row>
    <row r="31" ht="22" customHeight="1" s="59">
      <c r="B31" s="97" t="inlineStr">
        <is>
          <t>기간 총 증가</t>
        </is>
      </c>
      <c r="C31" s="99">
        <f>SUM(C8:C30)</f>
        <v/>
      </c>
    </row>
    <row r="33" ht="28" customHeight="1" s="59">
      <c r="B33" s="96" t="inlineStr">
        <is>
          <t>타겟 분석</t>
        </is>
      </c>
    </row>
    <row r="35" ht="22" customHeight="1" s="59">
      <c r="B35" s="99" t="inlineStr">
        <is>
          <t>성별 및 연령별 팔로워</t>
        </is>
      </c>
    </row>
    <row r="36" ht="22" customHeight="1" s="59">
      <c r="B36" s="97" t="inlineStr">
        <is>
          <t>연령</t>
        </is>
      </c>
      <c r="C36" s="99" t="inlineStr">
        <is>
          <t>여성</t>
        </is>
      </c>
      <c r="D36" s="99" t="inlineStr">
        <is>
          <t>남성</t>
        </is>
      </c>
    </row>
    <row r="37" ht="18" customHeight="1" s="59">
      <c r="B37" s="98" t="inlineStr">
        <is>
          <t>18-24</t>
        </is>
      </c>
      <c r="C37" s="98" t="inlineStr">
        <is>
          <t>22.4%</t>
        </is>
      </c>
      <c r="D37" s="98" t="inlineStr">
        <is>
          <t>2.9%</t>
        </is>
      </c>
    </row>
    <row r="38" ht="18" customHeight="1" s="59">
      <c r="B38" s="98" t="inlineStr">
        <is>
          <t>25-34</t>
        </is>
      </c>
      <c r="C38" s="98" t="inlineStr">
        <is>
          <t>40.1%</t>
        </is>
      </c>
      <c r="D38" s="98" t="inlineStr">
        <is>
          <t>6.4%</t>
        </is>
      </c>
    </row>
    <row r="39" ht="18" customHeight="1" s="59">
      <c r="B39" s="98" t="inlineStr">
        <is>
          <t>35-44</t>
        </is>
      </c>
      <c r="C39" s="98" t="inlineStr">
        <is>
          <t>16.6%</t>
        </is>
      </c>
      <c r="D39" s="98" t="inlineStr">
        <is>
          <t>2.3%</t>
        </is>
      </c>
    </row>
    <row r="40" ht="18" customHeight="1" s="59">
      <c r="B40" s="98" t="inlineStr">
        <is>
          <t>45-54</t>
        </is>
      </c>
      <c r="C40" s="98" t="inlineStr">
        <is>
          <t>6.2%</t>
        </is>
      </c>
      <c r="D40" s="98" t="inlineStr">
        <is>
          <t>1.0%</t>
        </is>
      </c>
    </row>
    <row r="41" ht="18" customHeight="1" s="59">
      <c r="B41" s="98" t="inlineStr">
        <is>
          <t>55-64</t>
        </is>
      </c>
      <c r="C41" s="98" t="inlineStr">
        <is>
          <t>1.2%</t>
        </is>
      </c>
      <c r="D41" s="98" t="inlineStr">
        <is>
          <t>0.3%</t>
        </is>
      </c>
    </row>
    <row r="42" ht="18" customHeight="1" s="59">
      <c r="B42" s="98" t="inlineStr">
        <is>
          <t>65+</t>
        </is>
      </c>
      <c r="C42" s="98" t="inlineStr">
        <is>
          <t>0.5%</t>
        </is>
      </c>
      <c r="D42" s="98" t="inlineStr">
        <is>
          <t>0.1%</t>
        </is>
      </c>
    </row>
    <row r="44" ht="22" customHeight="1" s="59">
      <c r="B44" s="99" t="inlineStr">
        <is>
          <t>상위 도시</t>
        </is>
      </c>
      <c r="E44" s="99" t="inlineStr">
        <is>
          <t>상위 국가</t>
        </is>
      </c>
    </row>
    <row r="45" ht="22" customHeight="1" s="59">
      <c r="B45" s="97" t="inlineStr">
        <is>
          <t>도시</t>
        </is>
      </c>
      <c r="C45" s="99" t="inlineStr">
        <is>
          <t>비율</t>
        </is>
      </c>
      <c r="E45" s="97" t="inlineStr">
        <is>
          <t>국가</t>
        </is>
      </c>
      <c r="F45" s="99" t="inlineStr">
        <is>
          <t>비율</t>
        </is>
      </c>
    </row>
    <row r="46" ht="18" customHeight="1" s="59">
      <c r="B46" s="101" t="inlineStr">
        <is>
          <t>홍콩</t>
        </is>
      </c>
      <c r="C46" s="98" t="inlineStr">
        <is>
          <t>9.4%</t>
        </is>
      </c>
      <c r="E46" s="101" t="inlineStr">
        <is>
          <t>대만</t>
        </is>
      </c>
      <c r="F46" s="98" t="inlineStr">
        <is>
          <t>14.2%</t>
        </is>
      </c>
    </row>
    <row r="47" ht="18" customHeight="1" s="59">
      <c r="B47" s="101" t="inlineStr">
        <is>
          <t>서울특별시</t>
        </is>
      </c>
      <c r="C47" s="98" t="inlineStr">
        <is>
          <t>4.5%</t>
        </is>
      </c>
      <c r="E47" s="101" t="inlineStr">
        <is>
          <t>미국</t>
        </is>
      </c>
      <c r="F47" s="98" t="inlineStr">
        <is>
          <t>11.3%</t>
        </is>
      </c>
    </row>
    <row r="48" ht="18" customHeight="1" s="59">
      <c r="B48" s="101" t="inlineStr">
        <is>
          <t>싱가포르</t>
        </is>
      </c>
      <c r="C48" s="98" t="inlineStr">
        <is>
          <t>4.0%</t>
        </is>
      </c>
      <c r="E48" s="101" t="inlineStr">
        <is>
          <t>대한민국</t>
        </is>
      </c>
      <c r="F48" s="98" t="inlineStr">
        <is>
          <t>10.1%</t>
        </is>
      </c>
    </row>
    <row r="49" ht="18" customHeight="1" s="59">
      <c r="B49" s="101" t="inlineStr">
        <is>
          <t>신베이 시 (대만)</t>
        </is>
      </c>
      <c r="C49" s="98" t="inlineStr">
        <is>
          <t>3.0%</t>
        </is>
      </c>
      <c r="E49" s="101" t="inlineStr">
        <is>
          <t>홍콩</t>
        </is>
      </c>
      <c r="F49" s="98" t="inlineStr">
        <is>
          <t>9.4%</t>
        </is>
      </c>
    </row>
    <row r="50" ht="18" customHeight="1" s="59">
      <c r="B50" s="101" t="inlineStr">
        <is>
          <t>타이베이 시</t>
        </is>
      </c>
      <c r="C50" s="98" t="inlineStr">
        <is>
          <t>2.1%</t>
        </is>
      </c>
      <c r="E50" s="101" t="inlineStr">
        <is>
          <t>싱가포르</t>
        </is>
      </c>
      <c r="F50" s="98" t="inlineStr">
        <is>
          <t>4.0%</t>
        </is>
      </c>
    </row>
    <row r="51" ht="18" customHeight="1" s="59">
      <c r="B51" s="101" t="inlineStr">
        <is>
          <t>타이중 시</t>
        </is>
      </c>
      <c r="C51" s="98" t="inlineStr">
        <is>
          <t>2.0%</t>
        </is>
      </c>
      <c r="E51" s="101" t="inlineStr">
        <is>
          <t>브라질</t>
        </is>
      </c>
      <c r="F51" s="98" t="inlineStr">
        <is>
          <t>2.7%</t>
        </is>
      </c>
    </row>
    <row r="52" ht="18" customHeight="1" s="59">
      <c r="B52" s="101" t="inlineStr">
        <is>
          <t>가오슝 시</t>
        </is>
      </c>
      <c r="C52" s="98" t="inlineStr">
        <is>
          <t>1.7%</t>
        </is>
      </c>
      <c r="E52" s="101" t="inlineStr">
        <is>
          <t>일본</t>
        </is>
      </c>
      <c r="F52" s="98" t="inlineStr">
        <is>
          <t>2.7%</t>
        </is>
      </c>
    </row>
    <row r="53" ht="18" customHeight="1" s="59">
      <c r="B53" s="101" t="inlineStr">
        <is>
          <t>타오위안 시</t>
        </is>
      </c>
      <c r="C53" s="98" t="inlineStr">
        <is>
          <t>1.6%</t>
        </is>
      </c>
      <c r="E53" s="101" t="inlineStr">
        <is>
          <t>영국</t>
        </is>
      </c>
      <c r="F53" s="98" t="inlineStr">
        <is>
          <t>2.7%</t>
        </is>
      </c>
    </row>
    <row r="54" ht="18" customHeight="1" s="59">
      <c r="B54" s="101" t="inlineStr">
        <is>
          <t>타이난 시</t>
        </is>
      </c>
      <c r="C54" s="98" t="inlineStr">
        <is>
          <t>1.1%</t>
        </is>
      </c>
      <c r="E54" s="101" t="inlineStr">
        <is>
          <t>프랑스</t>
        </is>
      </c>
      <c r="F54" s="98" t="inlineStr">
        <is>
          <t>2.7%</t>
        </is>
      </c>
    </row>
    <row r="55" ht="18" customHeight="1" s="59">
      <c r="B55" s="101" t="inlineStr">
        <is>
          <t>방콕</t>
        </is>
      </c>
      <c r="C55" s="98" t="inlineStr">
        <is>
          <t>0.8%</t>
        </is>
      </c>
      <c r="E55" s="101" t="inlineStr">
        <is>
          <t>필리핀</t>
        </is>
      </c>
      <c r="F55" s="98" t="inlineStr">
        <is>
          <t>2.6%</t>
        </is>
      </c>
    </row>
  </sheetData>
  <mergeCells count="7">
    <mergeCell ref="B6:C6"/>
    <mergeCell ref="B44:C44"/>
    <mergeCell ref="B35:D35"/>
    <mergeCell ref="B33:E33"/>
    <mergeCell ref="B2:E2"/>
    <mergeCell ref="B4:C4"/>
    <mergeCell ref="E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</cols>
  <sheetData>
    <row r="2" ht="28" customHeight="1" s="59">
      <c r="B2" s="96" t="inlineStr">
        <is>
          <t>틱톡 팔로워수</t>
        </is>
      </c>
    </row>
    <row r="4" ht="22" customHeight="1" s="59">
      <c r="B4" s="97" t="inlineStr">
        <is>
          <t>총 팔로워수 (기준일 기준)</t>
        </is>
      </c>
      <c r="D4" s="98" t="inlineStr"/>
    </row>
    <row r="6" ht="22" customHeight="1" s="59">
      <c r="B6" s="99" t="inlineStr">
        <is>
          <t>일별 신규 팔로워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98" t="inlineStr"/>
      <c r="C8" s="98" t="inlineStr"/>
    </row>
    <row r="9" ht="18" customHeight="1" s="59">
      <c r="B9" s="98" t="inlineStr"/>
      <c r="C9" s="98" t="inlineStr"/>
    </row>
    <row r="10" ht="18" customHeight="1" s="59">
      <c r="B10" s="98" t="inlineStr"/>
      <c r="C10" s="98" t="inlineStr"/>
    </row>
    <row r="11" ht="18" customHeight="1" s="59">
      <c r="B11" s="98" t="inlineStr"/>
      <c r="C11" s="98" t="inlineStr"/>
    </row>
    <row r="12" ht="18" customHeight="1" s="59">
      <c r="B12" s="98" t="inlineStr"/>
      <c r="C12" s="98" t="inlineStr"/>
    </row>
    <row r="13" ht="18" customHeight="1" s="59">
      <c r="B13" s="98" t="inlineStr"/>
      <c r="C13" s="98" t="inlineStr"/>
    </row>
    <row r="14" ht="18" customHeight="1" s="59">
      <c r="B14" s="98" t="inlineStr"/>
      <c r="C14" s="98" t="inlineStr"/>
    </row>
    <row r="15" ht="18" customHeight="1" s="59">
      <c r="B15" s="98" t="inlineStr"/>
      <c r="C15" s="98" t="inlineStr"/>
    </row>
    <row r="16" ht="18" customHeight="1" s="59">
      <c r="B16" s="98" t="inlineStr"/>
      <c r="C16" s="98" t="inlineStr"/>
    </row>
    <row r="17" ht="18" customHeight="1" s="59">
      <c r="B17" s="98" t="inlineStr"/>
      <c r="C17" s="98" t="inlineStr"/>
    </row>
    <row r="18" ht="18" customHeight="1" s="59">
      <c r="B18" s="98" t="inlineStr"/>
      <c r="C18" s="98" t="inlineStr"/>
    </row>
    <row r="19" ht="18" customHeight="1" s="59">
      <c r="B19" s="98" t="inlineStr"/>
      <c r="C19" s="98" t="inlineStr"/>
    </row>
    <row r="20" ht="18" customHeight="1" s="59">
      <c r="B20" s="98" t="inlineStr"/>
      <c r="C20" s="98" t="inlineStr"/>
    </row>
    <row r="21" ht="18" customHeight="1" s="59">
      <c r="B21" s="98" t="inlineStr"/>
      <c r="C21" s="98" t="inlineStr"/>
    </row>
    <row r="22" ht="18" customHeight="1" s="59">
      <c r="B22" s="98" t="inlineStr"/>
      <c r="C22" s="98" t="inlineStr"/>
    </row>
    <row r="23" ht="18" customHeight="1" s="59">
      <c r="B23" s="98" t="inlineStr"/>
      <c r="C23" s="98" t="inlineStr"/>
    </row>
    <row r="24" ht="18" customHeight="1" s="59">
      <c r="B24" s="98" t="inlineStr"/>
      <c r="C24" s="98" t="inlineStr"/>
    </row>
    <row r="25" ht="18" customHeight="1" s="59">
      <c r="B25" s="98" t="inlineStr"/>
      <c r="C25" s="98" t="inlineStr"/>
    </row>
    <row r="26" ht="18" customHeight="1" s="59">
      <c r="B26" s="98" t="inlineStr"/>
      <c r="C26" s="98" t="inlineStr"/>
    </row>
    <row r="27" ht="18" customHeight="1" s="59">
      <c r="B27" s="98" t="inlineStr"/>
      <c r="C27" s="98" t="inlineStr"/>
    </row>
    <row r="28" ht="18" customHeight="1" s="59">
      <c r="B28" s="98" t="inlineStr"/>
      <c r="C28" s="98" t="inlineStr"/>
    </row>
    <row r="29" ht="18" customHeight="1" s="59">
      <c r="B29" s="98" t="inlineStr"/>
      <c r="C29" s="98" t="inlineStr"/>
    </row>
    <row r="30" ht="18" customHeight="1" s="59">
      <c r="B30" s="98" t="inlineStr"/>
      <c r="C30" s="98" t="inlineStr"/>
    </row>
  </sheetData>
  <mergeCells count="3">
    <mergeCell ref="B6:C6"/>
    <mergeCell ref="B4:C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.86" customWidth="1" style="59" min="1" max="1"/>
    <col width="11" customWidth="1" style="59" min="2" max="2"/>
    <col width="31.14" customWidth="1" style="59" min="3" max="3"/>
    <col width="10.29" customWidth="1" style="59" min="4" max="4"/>
    <col width="7.71" customWidth="1" style="59" min="5" max="5"/>
    <col width="7.43" customWidth="1" style="59" min="6" max="6"/>
    <col width="6.29" customWidth="1" style="59" min="7" max="7"/>
    <col width="8.57" customWidth="1" style="59" min="8" max="8"/>
    <col width="12.71" customWidth="1" style="59" min="9" max="9"/>
    <col width="8.710000000000001" customWidth="1" style="59" min="10" max="26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47" t="inlineStr">
        <is>
          <t>인스타그램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48" t="inlineStr">
        <is>
          <t>날짜</t>
        </is>
      </c>
      <c r="C4" s="72" t="inlineStr">
        <is>
          <t>게시물명</t>
        </is>
      </c>
      <c r="D4" s="73" t="n"/>
      <c r="E4" s="51" t="inlineStr">
        <is>
          <t>도달</t>
        </is>
      </c>
      <c r="F4" s="51" t="inlineStr">
        <is>
          <t>좋아요</t>
        </is>
      </c>
      <c r="G4" s="51" t="inlineStr">
        <is>
          <t>댓글</t>
        </is>
      </c>
      <c r="H4" s="52" t="inlineStr">
        <is>
          <t>저장</t>
        </is>
      </c>
      <c r="I4" s="51" t="inlineStr">
        <is>
          <t>인게이지먼트</t>
        </is>
      </c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A5" s="40" t="n"/>
      <c r="B5" s="83" t="n">
        <v>46100.93888888889</v>
      </c>
      <c r="C5" s="84" t="inlineStr">
        <is>
          <t>💜ARMY, this is your sign—come do BTS luckydraw onl</t>
        </is>
      </c>
      <c r="D5" s="85" t="inlineStr">
        <is>
          <t>바로가기</t>
        </is>
      </c>
      <c r="E5" s="86" t="n">
        <v>1203</v>
      </c>
      <c r="F5" s="86" t="n">
        <v>48</v>
      </c>
      <c r="G5" s="86" t="n">
        <v>0</v>
      </c>
      <c r="H5" s="86" t="n">
        <v>6</v>
      </c>
      <c r="I5" s="84">
        <f>SUM(F5:H5)</f>
        <v/>
      </c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18" customHeight="1" s="59">
      <c r="A6" s="40" t="n"/>
      <c r="B6" s="83" t="n">
        <v>46104.79305555556</v>
      </c>
      <c r="C6" s="84" t="inlineStr">
        <is>
          <t>📍POCA SPOT Myeong-dong</t>
        </is>
      </c>
      <c r="D6" s="85" t="inlineStr">
        <is>
          <t>바로가기</t>
        </is>
      </c>
      <c r="E6" s="86" t="n">
        <v>2745</v>
      </c>
      <c r="F6" s="86" t="n">
        <v>146</v>
      </c>
      <c r="G6" s="86" t="n">
        <v>1</v>
      </c>
      <c r="H6" s="86" t="n">
        <v>11</v>
      </c>
      <c r="I6" s="84">
        <f>SUM(F6:H6)</f>
        <v/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18" customHeight="1" s="59">
      <c r="A7" s="40" t="n"/>
      <c r="B7" s="83" t="n">
        <v>46106.13055555556</v>
      </c>
      <c r="C7" s="84" t="inlineStr">
        <is>
          <t xml:space="preserve">STAY in our POCA SPOT Hongdae &amp; Myeongdong 🥹 Grab </t>
        </is>
      </c>
      <c r="D7" s="85" t="inlineStr">
        <is>
          <t>바로가기</t>
        </is>
      </c>
      <c r="E7" s="86" t="n">
        <v>1737</v>
      </c>
      <c r="F7" s="86" t="n">
        <v>120</v>
      </c>
      <c r="G7" s="86" t="n">
        <v>0</v>
      </c>
      <c r="H7" s="86" t="n">
        <v>18</v>
      </c>
      <c r="I7" s="84">
        <f>SUM(F7:H7)</f>
        <v/>
      </c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18" customHeight="1" s="59">
      <c r="A8" s="40" t="n"/>
      <c r="B8" s="83" t="n">
        <v>46107.08472222222</v>
      </c>
      <c r="C8" s="84" t="inlineStr">
        <is>
          <t>Fanmeeting prep starts at POCA SPOT Hongdae &amp; Myeo</t>
        </is>
      </c>
      <c r="D8" s="85" t="inlineStr">
        <is>
          <t>바로가기</t>
        </is>
      </c>
      <c r="E8" s="86" t="n">
        <v>906</v>
      </c>
      <c r="F8" s="86" t="n">
        <v>57</v>
      </c>
      <c r="G8" s="86" t="n">
        <v>0</v>
      </c>
      <c r="H8" s="86" t="n">
        <v>7</v>
      </c>
      <c r="I8" s="84">
        <f>SUM(F8:H8)</f>
        <v/>
      </c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18" customHeight="1" s="59">
      <c r="A9" s="40" t="n"/>
      <c r="B9" s="83" t="n">
        <v>46108.08472222222</v>
      </c>
      <c r="C9" s="84" t="inlineStr">
        <is>
          <t>STAY, stop scrolling. Start walking to POCA SPOT (</t>
        </is>
      </c>
      <c r="D9" s="85" t="inlineStr">
        <is>
          <t>바로가기</t>
        </is>
      </c>
      <c r="E9" s="86" t="n">
        <v>898</v>
      </c>
      <c r="F9" s="86" t="n">
        <v>68</v>
      </c>
      <c r="G9" s="86" t="n">
        <v>0</v>
      </c>
      <c r="H9" s="86" t="n">
        <v>5</v>
      </c>
      <c r="I9" s="84">
        <f>SUM(F9:H9)</f>
        <v/>
      </c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18" customHeight="1" s="59">
      <c r="A10" s="40" t="n"/>
      <c r="B10" s="83" t="n">
        <v>46109.08472222222</v>
      </c>
      <c r="C10" s="84" t="inlineStr">
        <is>
          <t>📍POCA SPOT Hongdae &amp; Myeongdong.Grab your photocar</t>
        </is>
      </c>
      <c r="D10" s="87" t="inlineStr">
        <is>
          <t>바로가기</t>
        </is>
      </c>
      <c r="E10" s="86" t="n">
        <v>872</v>
      </c>
      <c r="F10" s="86" t="n">
        <v>77</v>
      </c>
      <c r="G10" s="86" t="n">
        <v>0</v>
      </c>
      <c r="H10" s="86" t="n">
        <v>7</v>
      </c>
      <c r="I10" s="84">
        <f>SUM(F10:H10)</f>
        <v/>
      </c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18" customHeight="1" s="59">
      <c r="A11" s="40" t="n"/>
      <c r="B11" s="83" t="n">
        <v>46110.08472222222</v>
      </c>
      <c r="C11" s="84" t="inlineStr">
        <is>
          <t xml:space="preserve">CARATs💎 Grab your photocard and make this concert </t>
        </is>
      </c>
      <c r="D11" s="87" t="inlineStr">
        <is>
          <t>바로가기</t>
        </is>
      </c>
      <c r="E11" s="86" t="n">
        <v>1567</v>
      </c>
      <c r="F11" s="86" t="n">
        <v>105</v>
      </c>
      <c r="G11" s="86" t="n">
        <v>0</v>
      </c>
      <c r="H11" s="86" t="n">
        <v>7</v>
      </c>
      <c r="I11" s="84">
        <f>SUM(F11:H11)</f>
        <v/>
      </c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18" customHeight="1" s="59">
      <c r="A12" s="40" t="n"/>
      <c r="B12" s="83" t="n">
        <v>46111.08541666667</v>
      </c>
      <c r="C12" s="84" t="inlineStr">
        <is>
          <t>Stock up on SVT photocards and own every moment of</t>
        </is>
      </c>
      <c r="D12" s="87" t="inlineStr">
        <is>
          <t>바로가기</t>
        </is>
      </c>
      <c r="E12" s="86" t="n">
        <v>979</v>
      </c>
      <c r="F12" s="86" t="n">
        <v>47</v>
      </c>
      <c r="G12" s="86" t="n">
        <v>0</v>
      </c>
      <c r="H12" s="86" t="n">
        <v>6</v>
      </c>
      <c r="I12" s="84">
        <f>SUM(F12:H12)</f>
        <v/>
      </c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18" customHeight="1" s="59">
      <c r="A13" s="40" t="n"/>
      <c r="B13" s="83" t="n">
        <v>46112.75277777778</v>
      </c>
      <c r="C13" s="81" t="inlineStr">
        <is>
          <t>Don't walk into SVT concert empty-handed. POCA SPO</t>
        </is>
      </c>
      <c r="D13" s="82" t="inlineStr">
        <is>
          <t>바로가기</t>
        </is>
      </c>
      <c r="E13" s="86" t="n">
        <v>852</v>
      </c>
      <c r="F13" s="86" t="n">
        <v>34</v>
      </c>
      <c r="G13" s="86" t="n">
        <v>0</v>
      </c>
      <c r="H13" s="86" t="n">
        <v>4</v>
      </c>
      <c r="I13" s="84">
        <f>SUM(F13:H13)</f>
        <v/>
      </c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18" customHeight="1" s="59">
      <c r="A14" s="40" t="n"/>
      <c r="B14" s="88" t="n">
        <v>46113.08402777778</v>
      </c>
      <c r="C14" s="89" t="inlineStr">
        <is>
          <t>Every CARAT deserves SVT poca 💎🩷 Come grab yours a</t>
        </is>
      </c>
      <c r="D14" s="90" t="inlineStr">
        <is>
          <t>바로가기</t>
        </is>
      </c>
      <c r="E14" s="89" t="n">
        <v>1353</v>
      </c>
      <c r="F14" s="89" t="n">
        <v>41</v>
      </c>
      <c r="G14" s="89" t="n">
        <v>0</v>
      </c>
      <c r="H14" s="89" t="n">
        <v>7</v>
      </c>
      <c r="I14" s="89">
        <f>SUM(F14:H14)</f>
        <v/>
      </c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18" customHeight="1" s="59">
      <c r="A15" s="40" t="n"/>
      <c r="B15" s="88" t="n">
        <v>46113.79305555556</v>
      </c>
      <c r="C15" s="89" t="inlineStr">
        <is>
          <t>💎SEVENTEEN WORLD TOUR ［NEW_］ ENCORE</t>
        </is>
      </c>
      <c r="D15" s="90" t="inlineStr">
        <is>
          <t>바로가기</t>
        </is>
      </c>
      <c r="E15" s="89" t="n">
        <v>710</v>
      </c>
      <c r="F15" s="89" t="n">
        <v>18</v>
      </c>
      <c r="G15" s="89" t="n">
        <v>1</v>
      </c>
      <c r="H15" s="89" t="n">
        <v>4</v>
      </c>
      <c r="I15" s="89">
        <f>SUM(F15:H15)</f>
        <v/>
      </c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40" t="n"/>
      <c r="B17" s="89" t="inlineStr">
        <is>
          <t>평균</t>
        </is>
      </c>
      <c r="C17" s="40" t="n"/>
      <c r="D17" s="40" t="n"/>
      <c r="E17" s="89">
        <f>AVERAGE(E5:E15)</f>
        <v/>
      </c>
      <c r="F17" s="89">
        <f>AVERAGE(F5:F15)</f>
        <v/>
      </c>
      <c r="G17" s="89">
        <f>AVERAGE(G5:G15)</f>
        <v/>
      </c>
      <c r="H17" s="89">
        <f>AVERAGE(H5:H15)</f>
        <v/>
      </c>
      <c r="I17" s="89">
        <f>AVERAGE(I5:I15)</f>
        <v/>
      </c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9" customWidth="1" style="59" min="1" max="1"/>
    <col width="11" customWidth="1" style="59" min="2" max="2"/>
    <col width="31.1" customWidth="1" style="59" min="3" max="3"/>
    <col width="10.3" customWidth="1" style="59" min="4" max="4"/>
    <col width="7.7" customWidth="1" style="59" min="5" max="5"/>
    <col width="7.4" customWidth="1" style="59" min="6" max="6"/>
    <col width="6.3" customWidth="1" style="59" min="7" max="7"/>
    <col width="8.6" customWidth="1" style="59" min="8" max="8"/>
    <col width="8.6" customWidth="1" style="59" min="9" max="9"/>
    <col width="12.7" customWidth="1" style="59" min="10" max="10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75" t="inlineStr">
        <is>
          <t>틱톡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92" t="inlineStr">
        <is>
          <t>날짜</t>
        </is>
      </c>
      <c r="C4" s="93" t="inlineStr">
        <is>
          <t>게시물명</t>
        </is>
      </c>
      <c r="D4" s="73" t="n"/>
      <c r="E4" s="94" t="inlineStr">
        <is>
          <t>조회수</t>
        </is>
      </c>
      <c r="F4" s="94" t="inlineStr">
        <is>
          <t>좋아요</t>
        </is>
      </c>
      <c r="G4" s="94" t="inlineStr">
        <is>
          <t>댓글</t>
        </is>
      </c>
      <c r="H4" s="94" t="inlineStr">
        <is>
          <t>저장</t>
        </is>
      </c>
      <c r="I4" s="94" t="inlineStr">
        <is>
          <t>공유</t>
        </is>
      </c>
      <c r="J4" s="95" t="inlineStr">
        <is>
          <t>인게이지먼트</t>
        </is>
      </c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B5" s="91" t="n">
        <v>46105</v>
      </c>
      <c r="C5" s="81" t="inlineStr">
        <is>
          <t>📍POCA SPOT Myeong-dong</t>
        </is>
      </c>
      <c r="D5" s="82" t="inlineStr">
        <is>
          <t>바로가기</t>
        </is>
      </c>
      <c r="E5" s="81" t="n">
        <v>1197</v>
      </c>
      <c r="F5" s="81" t="n">
        <v>62</v>
      </c>
      <c r="G5" s="81" t="n">
        <v>0</v>
      </c>
      <c r="H5" s="81" t="n">
        <v>11</v>
      </c>
      <c r="I5" s="81" t="n">
        <v>14</v>
      </c>
      <c r="J5" s="81">
        <f>SUM(F5:I5)</f>
        <v/>
      </c>
    </row>
    <row r="6" ht="18" customHeight="1" s="59">
      <c r="B6" s="91" t="n">
        <v>46106</v>
      </c>
      <c r="C6" s="81" t="inlineStr">
        <is>
          <t>STAY in our POCA SPOT Hongdae &amp; Myeongdong</t>
        </is>
      </c>
      <c r="D6" s="82" t="inlineStr">
        <is>
          <t>바로가기</t>
        </is>
      </c>
      <c r="E6" s="81" t="n">
        <v>809</v>
      </c>
      <c r="F6" s="81" t="n">
        <v>38</v>
      </c>
      <c r="G6" s="81" t="n">
        <v>0</v>
      </c>
      <c r="H6" s="81" t="n">
        <v>7</v>
      </c>
      <c r="I6" s="81" t="n">
        <v>4</v>
      </c>
      <c r="J6" s="81">
        <f>SUM(F6:I6)</f>
        <v/>
      </c>
    </row>
    <row r="7" ht="18" customHeight="1" s="59">
      <c r="B7" s="91" t="n">
        <v>46107</v>
      </c>
      <c r="C7" s="81" t="inlineStr">
        <is>
          <t>Fanmeeting prep starts at POCA SPOT</t>
        </is>
      </c>
      <c r="D7" s="82" t="inlineStr">
        <is>
          <t>바로가기</t>
        </is>
      </c>
      <c r="E7" s="81" t="n">
        <v>1190</v>
      </c>
      <c r="F7" s="81" t="n">
        <v>111</v>
      </c>
      <c r="G7" s="81" t="n">
        <v>1</v>
      </c>
      <c r="H7" s="81" t="n">
        <v>6</v>
      </c>
      <c r="I7" s="81" t="n">
        <v>2</v>
      </c>
      <c r="J7" s="81">
        <f>SUM(F7:I7)</f>
        <v/>
      </c>
    </row>
    <row r="8" ht="18" customHeight="1" s="59">
      <c r="B8" s="91" t="n">
        <v>46108</v>
      </c>
      <c r="C8" s="81" t="inlineStr">
        <is>
          <t>STAY, stop scrolling. Start walking to POCA SPOT</t>
        </is>
      </c>
      <c r="D8" s="82" t="inlineStr">
        <is>
          <t>바로가기</t>
        </is>
      </c>
      <c r="E8" s="81" t="n">
        <v>1023</v>
      </c>
      <c r="F8" s="81" t="n">
        <v>92</v>
      </c>
      <c r="G8" s="81" t="n">
        <v>0</v>
      </c>
      <c r="H8" s="81" t="n">
        <v>9</v>
      </c>
      <c r="I8" s="81" t="n"/>
      <c r="J8" s="81">
        <f>SUM(F8:I8)</f>
        <v/>
      </c>
    </row>
    <row r="9" ht="18" customHeight="1" s="59">
      <c r="B9" s="91" t="n">
        <v>46109</v>
      </c>
      <c r="C9" s="81" t="inlineStr">
        <is>
          <t>📍POCA SPOT Hongdae &amp; Myeongdong (SKZ FANMEETING)</t>
        </is>
      </c>
      <c r="D9" s="82" t="inlineStr">
        <is>
          <t>바로가기</t>
        </is>
      </c>
      <c r="E9" s="81" t="n">
        <v>1060</v>
      </c>
      <c r="F9" s="81" t="n">
        <v>86</v>
      </c>
      <c r="G9" s="81" t="n">
        <v>0</v>
      </c>
      <c r="H9" s="81" t="n">
        <v>3</v>
      </c>
      <c r="I9" s="81" t="n"/>
      <c r="J9" s="81">
        <f>SUM(F9:I9)</f>
        <v/>
      </c>
    </row>
    <row r="10" ht="18" customHeight="1" s="59">
      <c r="B10" s="91" t="n">
        <v>46110</v>
      </c>
      <c r="C10" s="81" t="inlineStr">
        <is>
          <t>CARATs💎 Grab your photocard and make this concert yours</t>
        </is>
      </c>
      <c r="D10" s="82" t="inlineStr">
        <is>
          <t>바로가기</t>
        </is>
      </c>
      <c r="E10" s="81" t="n">
        <v>918</v>
      </c>
      <c r="F10" s="81" t="n">
        <v>76</v>
      </c>
      <c r="G10" s="81" t="n">
        <v>0</v>
      </c>
      <c r="H10" s="81" t="n">
        <v>1</v>
      </c>
      <c r="I10" s="81" t="n">
        <v>5</v>
      </c>
      <c r="J10" s="81">
        <f>SUM(F10:I10)</f>
        <v/>
      </c>
    </row>
    <row r="11" ht="18" customHeight="1" s="59">
      <c r="B11" s="91" t="n">
        <v>46111</v>
      </c>
      <c r="C11" s="81" t="inlineStr">
        <is>
          <t>Stock up on SVT photocards and own every moment of the tour</t>
        </is>
      </c>
      <c r="D11" s="82" t="inlineStr">
        <is>
          <t>바로가기</t>
        </is>
      </c>
      <c r="E11" s="81" t="n">
        <v>1069</v>
      </c>
      <c r="F11" s="81" t="n">
        <v>62</v>
      </c>
      <c r="G11" s="81" t="n">
        <v>1</v>
      </c>
      <c r="H11" s="81" t="n">
        <v>4</v>
      </c>
      <c r="I11" s="81" t="n">
        <v>5</v>
      </c>
      <c r="J11" s="81">
        <f>SUM(F11:I11)</f>
        <v/>
      </c>
    </row>
    <row r="12" ht="18" customHeight="1" s="59">
      <c r="B12" s="91" t="n">
        <v>46112</v>
      </c>
      <c r="C12" s="81" t="inlineStr">
        <is>
          <t>Don't walk into SVT concert empty-handed. POCA SPOT first.</t>
        </is>
      </c>
      <c r="D12" s="82" t="inlineStr">
        <is>
          <t>바로가기</t>
        </is>
      </c>
      <c r="E12" s="81" t="n">
        <v>594</v>
      </c>
      <c r="F12" s="81" t="n">
        <v>24</v>
      </c>
      <c r="G12" s="81" t="n">
        <v>0</v>
      </c>
      <c r="H12" s="81" t="n">
        <v>3</v>
      </c>
      <c r="I12" s="81" t="n"/>
      <c r="J12" s="81">
        <f>SUM(F12:I12)</f>
        <v/>
      </c>
    </row>
    <row r="13" ht="18" customHeight="1" s="59">
      <c r="B13" s="91" t="n">
        <v>46113</v>
      </c>
      <c r="C13" s="81" t="inlineStr">
        <is>
          <t>Every CARAT deserves SVT poca 💎🩷</t>
        </is>
      </c>
      <c r="D13" s="82" t="inlineStr">
        <is>
          <t>바로가기</t>
        </is>
      </c>
      <c r="E13" s="81" t="n">
        <v>926</v>
      </c>
      <c r="F13" s="81" t="n">
        <v>53</v>
      </c>
      <c r="G13" s="81" t="n">
        <v>0</v>
      </c>
      <c r="H13" s="81" t="n">
        <v>1</v>
      </c>
      <c r="I13" s="81" t="n"/>
      <c r="J13" s="81">
        <f>SUM(F13:I13)</f>
        <v/>
      </c>
    </row>
    <row r="14" ht="18" customHeight="1" s="59">
      <c r="B14" s="91" t="n">
        <v>46115</v>
      </c>
      <c r="C14" s="81" t="inlineStr">
        <is>
          <t>💎 SEVENTEEN WORLD TOUR [NEW_] ENCORE</t>
        </is>
      </c>
      <c r="D14" s="82" t="inlineStr">
        <is>
          <t>바로가기</t>
        </is>
      </c>
      <c r="E14" s="81" t="n">
        <v>1281</v>
      </c>
      <c r="F14" s="81" t="n">
        <v>71</v>
      </c>
      <c r="G14" s="81" t="n">
        <v>0</v>
      </c>
      <c r="H14" s="81" t="n">
        <v>3</v>
      </c>
      <c r="I14" s="81" t="n">
        <v>4</v>
      </c>
      <c r="J14" s="81">
        <f>SUM(F14:I14)</f>
        <v/>
      </c>
    </row>
    <row r="15" ht="18" customHeight="1" s="59">
      <c r="B15" s="91" t="n">
        <v>46116</v>
      </c>
      <c r="C15" s="81" t="inlineStr">
        <is>
          <t>💎 CARAT, this is your moment. Don't miss out — SEVENTEEN</t>
        </is>
      </c>
      <c r="D15" s="82" t="inlineStr">
        <is>
          <t>바로가기</t>
        </is>
      </c>
      <c r="E15" s="81" t="n">
        <v>947</v>
      </c>
      <c r="F15" s="81" t="n">
        <v>55</v>
      </c>
      <c r="G15" s="81" t="n">
        <v>0</v>
      </c>
      <c r="H15" s="81" t="n">
        <v>2</v>
      </c>
      <c r="I15" s="81" t="n"/>
      <c r="J15" s="81">
        <f>SUM(F15:I15)</f>
        <v/>
      </c>
    </row>
    <row r="16" ht="18" customHeight="1" s="59">
      <c r="B16" s="91" t="n">
        <v>46117</v>
      </c>
      <c r="C16" s="81" t="inlineStr">
        <is>
          <t>Guess who just arrived at POCA SPOT? 📷</t>
        </is>
      </c>
      <c r="D16" s="82" t="inlineStr">
        <is>
          <t>바로가기</t>
        </is>
      </c>
      <c r="E16" s="81" t="n">
        <v>266</v>
      </c>
      <c r="F16" s="81" t="n">
        <v>8</v>
      </c>
      <c r="G16" s="81" t="n">
        <v>0</v>
      </c>
      <c r="H16" s="81" t="n">
        <v>1</v>
      </c>
      <c r="I16" s="81" t="n"/>
      <c r="J16" s="81">
        <f>SUM(F16:I16)</f>
        <v/>
      </c>
    </row>
    <row r="18">
      <c r="B18" s="81" t="inlineStr">
        <is>
          <t>평균</t>
        </is>
      </c>
      <c r="E18" s="81">
        <f>AVERAGE(E5:E16)</f>
        <v/>
      </c>
      <c r="F18" s="81">
        <f>AVERAGE(F5:F16)</f>
        <v/>
      </c>
      <c r="G18" s="81">
        <f>AVERAGE(G5:G16)</f>
        <v/>
      </c>
      <c r="H18" s="81">
        <f>AVERAGE(H5:H16)</f>
        <v/>
      </c>
      <c r="I18" s="81">
        <f>AVERAGE(I5:I16)</f>
        <v/>
      </c>
      <c r="J18" s="81">
        <f>AVERAGE(J5:J16)</f>
        <v/>
      </c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김진희</dc:creator>
  <dcterms:created xmlns:dcterms="http://purl.org/dc/terms/" xmlns:xsi="http://www.w3.org/2001/XMLSchema-instance" xsi:type="dcterms:W3CDTF">2018-12-06T07:18:26Z</dcterms:created>
  <dcterms:modified xmlns:dcterms="http://purl.org/dc/terms/" xmlns:xsi="http://www.w3.org/2001/XMLSchema-instance" xsi:type="dcterms:W3CDTF">2026-04-07T23:51:16Z</dcterms:modified>
</cp:coreProperties>
</file>